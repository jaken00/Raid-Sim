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Raid-Sim\"/>
    </mc:Choice>
  </mc:AlternateContent>
  <xr:revisionPtr revIDLastSave="0" documentId="13_ncr:1_{08776BEC-B222-4565-898C-C4174BE16138}" xr6:coauthVersionLast="47" xr6:coauthVersionMax="47" xr10:uidLastSave="{00000000-0000-0000-0000-000000000000}"/>
  <bookViews>
    <workbookView xWindow="-120" yWindow="-120" windowWidth="29040" windowHeight="15720" activeTab="6" xr2:uid="{3B4A7B90-3552-4AC8-BFE1-7F14EFE6DB3D}"/>
  </bookViews>
  <sheets>
    <sheet name="Dirge" sheetId="11" r:id="rId1"/>
    <sheet name="Warsinger" sheetId="10" r:id="rId2"/>
    <sheet name="Striker" sheetId="9" r:id="rId3"/>
    <sheet name="Exsanguinate" sheetId="8" r:id="rId4"/>
    <sheet name="Elementalist" sheetId="7" r:id="rId5"/>
    <sheet name="Arcanist" sheetId="6" r:id="rId6"/>
    <sheet name="Mender" sheetId="4" r:id="rId7"/>
    <sheet name="Siphon" sheetId="5" r:id="rId8"/>
    <sheet name="Vanguard" sheetId="2" r:id="rId9"/>
    <sheet name="Bulwark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4" i="5"/>
  <c r="C2" i="5"/>
</calcChain>
</file>

<file path=xl/sharedStrings.xml><?xml version="1.0" encoding="utf-8"?>
<sst xmlns="http://schemas.openxmlformats.org/spreadsheetml/2006/main" count="500" uniqueCount="89">
  <si>
    <t>Name</t>
  </si>
  <si>
    <t>Base Damage</t>
  </si>
  <si>
    <t>Base Healing</t>
  </si>
  <si>
    <t>Type</t>
  </si>
  <si>
    <t>Damage Type</t>
  </si>
  <si>
    <t>Is AOE</t>
  </si>
  <si>
    <t>Buff Duration</t>
  </si>
  <si>
    <t>Crit Bonus</t>
  </si>
  <si>
    <t>Damage Multi</t>
  </si>
  <si>
    <t>Haste Bonus</t>
  </si>
  <si>
    <t>DR Bonus</t>
  </si>
  <si>
    <t>Buff Scope</t>
  </si>
  <si>
    <t>Cast Time</t>
  </si>
  <si>
    <t>Bash</t>
  </si>
  <si>
    <t>DAMAGE</t>
  </si>
  <si>
    <t>PHYSICAL</t>
  </si>
  <si>
    <t>F</t>
  </si>
  <si>
    <t>NULL</t>
  </si>
  <si>
    <t>Charge</t>
  </si>
  <si>
    <t>RAID_WIDE</t>
  </si>
  <si>
    <t>Guard</t>
  </si>
  <si>
    <t>BUFF</t>
  </si>
  <si>
    <t>SELF</t>
  </si>
  <si>
    <t>Fortify</t>
  </si>
  <si>
    <t>TARGET</t>
  </si>
  <si>
    <t>Rage</t>
  </si>
  <si>
    <t>Focus</t>
  </si>
  <si>
    <t>HEAL</t>
  </si>
  <si>
    <t>RADIANT</t>
  </si>
  <si>
    <t>Lead the Way</t>
  </si>
  <si>
    <t>Calculated Blow</t>
  </si>
  <si>
    <t>Rise of the Fight</t>
  </si>
  <si>
    <t>Cooldown</t>
  </si>
  <si>
    <t>Warscream</t>
  </si>
  <si>
    <t>Bloodletting</t>
  </si>
  <si>
    <t>Life Transfer</t>
  </si>
  <si>
    <t>Shadow</t>
  </si>
  <si>
    <t>Blood Frenzy</t>
  </si>
  <si>
    <t>Drain the Weak</t>
  </si>
  <si>
    <t>Martyr’s Exchange</t>
  </si>
  <si>
    <t>Borrowed Grace</t>
  </si>
  <si>
    <t>The Red Prayer</t>
  </si>
  <si>
    <t>Radiant Embrace</t>
  </si>
  <si>
    <t>Wave of Renewal</t>
  </si>
  <si>
    <t>T</t>
  </si>
  <si>
    <t>Soothing Aura</t>
  </si>
  <si>
    <t>Radiant Strike</t>
  </si>
  <si>
    <t>Convergence</t>
  </si>
  <si>
    <t>Light's Benediction</t>
  </si>
  <si>
    <t>Dirge of Pain</t>
  </si>
  <si>
    <t>Wail of Despair</t>
  </si>
  <si>
    <t>Cursed Echoes</t>
  </si>
  <si>
    <t>Silence</t>
  </si>
  <si>
    <t>Resonant Curse</t>
  </si>
  <si>
    <t>Sorrow's Toll</t>
  </si>
  <si>
    <t>Battle Hymn</t>
  </si>
  <si>
    <t>War Cadence</t>
  </si>
  <si>
    <t>Valor's Cry</t>
  </si>
  <si>
    <t>Inspiring Strike</t>
  </si>
  <si>
    <t>Resonant Chord</t>
  </si>
  <si>
    <t>March of Triumph</t>
  </si>
  <si>
    <t>Mortal Strike</t>
  </si>
  <si>
    <t>Rend</t>
  </si>
  <si>
    <t>Execute</t>
  </si>
  <si>
    <t>Blade Flurry</t>
  </si>
  <si>
    <t>Momentum Surge</t>
  </si>
  <si>
    <t>Swift Strike</t>
  </si>
  <si>
    <t>Mark of Ruin</t>
  </si>
  <si>
    <t>Hemorrhage</t>
  </si>
  <si>
    <t>Exsanguinate</t>
  </si>
  <si>
    <t>Blood Surge</t>
  </si>
  <si>
    <t>Serrated Blade</t>
  </si>
  <si>
    <t>Rupture</t>
  </si>
  <si>
    <t>Flame Strike</t>
  </si>
  <si>
    <t>Fire</t>
  </si>
  <si>
    <t>Frost Nova</t>
  </si>
  <si>
    <t>Frost</t>
  </si>
  <si>
    <t>Storm Surge</t>
  </si>
  <si>
    <t>Storm</t>
  </si>
  <si>
    <t>Elemental Confluence</t>
  </si>
  <si>
    <t>Inferno Field</t>
  </si>
  <si>
    <t>Arcane Torrent</t>
  </si>
  <si>
    <t>Arcane Blast</t>
  </si>
  <si>
    <t>Chain Lightning</t>
  </si>
  <si>
    <t>Shatter</t>
  </si>
  <si>
    <t>Arcane Surge</t>
  </si>
  <si>
    <t>Arcane</t>
  </si>
  <si>
    <t>Ultimate Nuke</t>
  </si>
  <si>
    <t>Essence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</si>
</sst>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7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1" name="Table24589101112" displayName="Table24589101112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9" name="Table245891011" displayName="Table245891011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7" name="Table2458910" displayName="Table2458910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8" name="Table245899" displayName="Table245899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5" name="Table24589" displayName="Table24589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id="6" name="Table27" displayName="Table27" ref="A1:N9" totalsRowShown="0">
  <autoFilter ref="A1:N9"/>
  <tableColumns count="14">
    <tableColumn id="1" name="Name"/>
    <tableColumn id="2" name="Base Damage"/>
    <tableColumn id="3" name="Base Healing"/>
    <tableColumn id="14" name="Cooldown"/>
    <tableColumn id="4" name="Cast Time"/>
    <tableColumn id="5" name="Type"/>
    <tableColumn id="6" name="Damage Type"/>
    <tableColumn id="7" name="Is AOE"/>
    <tableColumn id="8" name="Buff Duration"/>
    <tableColumn id="9" name="Crit Bonus"/>
    <tableColumn id="10" name="Damage Multi"/>
    <tableColumn id="11" name="Haste Bonus"/>
    <tableColumn id="12" name="DR Bonus"/>
    <tableColumn id="13" name="Buff Scop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68984-A2D3-4179-BEEA-913734731D5B}" name="Table245" displayName="Table245" ref="A1:N9" totalsRowShown="0" headerRowDxfId="1" dataDxfId="0">
  <autoFilter ref="A1:N9" xr:uid="{5E4E0DB9-7341-42D8-A749-33796E02C597}"/>
  <tableColumns count="14">
    <tableColumn id="1" xr3:uid="{80A74BD4-AF19-4EA1-AEBF-2D19A116D4C6}" name="Name" dataDxfId="15"/>
    <tableColumn id="2" xr3:uid="{ED8B7926-C44A-45BF-A35F-AD5EDDFB9304}" name="Base Damage" dataDxfId="14"/>
    <tableColumn id="3" xr3:uid="{3BD16615-5284-4C3F-B2E1-78F3303BAC1C}" name="Base Healing" dataDxfId="13"/>
    <tableColumn id="14" xr3:uid="{B83CA318-DE23-423F-B543-4CAB5EC8E4E3}" name="Cooldown" dataDxfId="12"/>
    <tableColumn id="4" xr3:uid="{A37492EA-6EE2-408C-9136-0B24EC0E57A0}" name="Cast Time" dataDxfId="11"/>
    <tableColumn id="5" xr3:uid="{92274DEA-2C1D-4A3F-84ED-CFD89B5CD485}" name="Type" dataDxfId="10"/>
    <tableColumn id="6" xr3:uid="{E6193D09-57E7-4005-A0BB-906150663DE4}" name="Damage Type" dataDxfId="9"/>
    <tableColumn id="7" xr3:uid="{EAA0F561-06A4-4AAE-8DCC-2611494E0FA5}" name="Is AOE" dataDxfId="8"/>
    <tableColumn id="8" xr3:uid="{1823B8E2-0C11-4056-8459-5C132E6482C5}" name="Buff Duration" dataDxfId="7"/>
    <tableColumn id="9" xr3:uid="{65BB2B6F-46DB-47A4-A8D7-02DE1AB77319}" name="Crit Bonus" dataDxfId="6" dataCellStyle="Percent"/>
    <tableColumn id="10" xr3:uid="{5F5E786E-840D-4699-A286-FE7A45CFE40E}" name="Damage Multi" dataDxfId="5" dataCellStyle="Percent"/>
    <tableColumn id="11" xr3:uid="{74D5ACFD-7750-4C9E-A384-4CE3E4921B3A}" name="Haste Bonus" dataDxfId="4" dataCellStyle="Percent"/>
    <tableColumn id="12" xr3:uid="{02795834-7DAD-4AE7-93B9-9398CAEE2284}" name="DR Bonus" dataDxfId="3" dataCellStyle="Percent"/>
    <tableColumn id="13" xr3:uid="{9764CE44-D1C5-4709-B43D-4649F8350CE8}" name="Buff Scope" dataDxfId="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840416-4488-4244-BA06-C33D3D6B3CA4}" name="Table26" displayName="Table26" ref="A1:N9" totalsRowShown="0" headerRowDxfId="21" dataDxfId="20">
  <autoFilter ref="A1:N9" xr:uid="{5E4E0DB9-7341-42D8-A749-33796E02C597}"/>
  <tableColumns count="14">
    <tableColumn id="1" xr3:uid="{3982B2B6-FFAE-47D7-8B85-610CA308F9D4}" name="Name" dataDxfId="31"/>
    <tableColumn id="2" xr3:uid="{C1A65A59-6C4A-48FE-A3C9-781AEF966910}" name="Base Damage" dataDxfId="30"/>
    <tableColumn id="3" xr3:uid="{32C272D4-9449-47A6-9A02-87D63AC63AB2}" name="Base Healing" dataDxfId="19">
      <calculatedColumnFormula>(B2*2)</calculatedColumnFormula>
    </tableColumn>
    <tableColumn id="14" xr3:uid="{6CD1E962-3AD8-4392-834B-BEDF4F9743EF}" name="Cooldown" dataDxfId="29"/>
    <tableColumn id="4" xr3:uid="{FAB9E67F-9C9A-43B6-A206-1FAC8631A7E0}" name="Cast Time" dataDxfId="28"/>
    <tableColumn id="5" xr3:uid="{2F7FB3BC-D2FB-44AF-B80B-57CBD47B0424}" name="Type" dataDxfId="27"/>
    <tableColumn id="6" xr3:uid="{C5BF7078-6347-41CD-BF34-D278AB21E866}" name="Damage Type" dataDxfId="26"/>
    <tableColumn id="7" xr3:uid="{85C73421-3580-4C35-B731-C3E3E66CB8D7}" name="Is AOE" dataDxfId="18"/>
    <tableColumn id="8" xr3:uid="{7AA76CBB-AF42-421B-AC1A-432D64F3517A}" name="Buff Duration" dataDxfId="16" dataCellStyle="Percent"/>
    <tableColumn id="9" xr3:uid="{AAE58A0C-AB11-40AE-BD61-DF6D80A6337A}" name="Crit Bonus" dataDxfId="17" dataCellStyle="Percent"/>
    <tableColumn id="10" xr3:uid="{BC1C6237-C92E-48FE-8FCA-D84E3427C7F6}" name="Damage Multi" dataDxfId="25" dataCellStyle="Percent"/>
    <tableColumn id="11" xr3:uid="{B187DBAD-695E-4817-8EDE-7EC285BC0C04}" name="Haste Bonus" dataDxfId="24" dataCellStyle="Percent"/>
    <tableColumn id="12" xr3:uid="{CF41BC70-8468-4138-A5EA-B6255D9A2023}" name="DR Bonus" dataDxfId="23" dataCellStyle="Percent"/>
    <tableColumn id="13" xr3:uid="{845DC440-14E4-4262-92DA-0527087D2315}" name="Buff Scope" dataDxfId="22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3E55BA-F889-4AFF-84A0-8A42CA057BD6}" name="Table24" displayName="Table24" ref="A1:N9" totalsRowShown="0" headerRowDxfId="63" dataDxfId="35">
  <autoFilter ref="A1:N9" xr:uid="{5E4E0DB9-7341-42D8-A749-33796E02C597}"/>
  <tableColumns count="14">
    <tableColumn id="1" xr3:uid="{C11F8F41-C8EA-4F3A-A933-BB3C67530F90}" name="Name" dataDxfId="47"/>
    <tableColumn id="2" xr3:uid="{65662BAF-A29D-43E4-9F03-4B554CB17C79}" name="Base Damage" dataDxfId="46"/>
    <tableColumn id="3" xr3:uid="{32263714-F084-4CB3-9C5D-D38351C21C1D}" name="Base Healing" dataDxfId="45"/>
    <tableColumn id="14" xr3:uid="{6CCBAEA0-B0D4-4F9A-AF12-F4630BF5641E}" name="Cooldown" dataDxfId="32"/>
    <tableColumn id="4" xr3:uid="{9FFE014E-9471-4AA1-9C1C-811FD8FF8AD0}" name="Cast Time" dataDxfId="33"/>
    <tableColumn id="5" xr3:uid="{D7C291A6-DEDA-473B-B28E-D8C581D275D1}" name="Type" dataDxfId="44"/>
    <tableColumn id="6" xr3:uid="{ED0A3D0F-7C6B-404E-AC35-43645D59ECC6}" name="Damage Type" dataDxfId="43"/>
    <tableColumn id="7" xr3:uid="{6ABEB710-BF1D-4439-93E6-00603B424A38}" name="Is AOE" dataDxfId="42"/>
    <tableColumn id="8" xr3:uid="{67E5354E-8154-410E-B391-1AAB728CF765}" name="Buff Duration" dataDxfId="41"/>
    <tableColumn id="9" xr3:uid="{29F5084F-BC46-49D2-B1AC-DA4CCAD8CFAA}" name="Crit Bonus" dataDxfId="40" dataCellStyle="Percent"/>
    <tableColumn id="10" xr3:uid="{D7E90EF4-6407-49B8-8A32-5BF4F0EEB272}" name="Damage Multi" dataDxfId="39" dataCellStyle="Percent"/>
    <tableColumn id="11" xr3:uid="{2032BE54-582F-417B-AA15-684176C516AF}" name="Haste Bonus" dataDxfId="38" dataCellStyle="Percent"/>
    <tableColumn id="12" xr3:uid="{4DC4ABB5-1A0C-45D9-8D91-A9DDD80DC0B8}" name="DR Bonus" dataDxfId="37" dataCellStyle="Percent"/>
    <tableColumn id="13" xr3:uid="{EE1EDF7B-463B-41D4-9AC4-582552832CA1}" name="Buff Scope" dataDxfId="36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4E0DB9-7341-42D8-A749-33796E02C597}" name="Table2" displayName="Table2" ref="A1:N9" totalsRowShown="0" headerRowDxfId="62" dataDxfId="48">
  <autoFilter ref="A1:N9" xr:uid="{5E4E0DB9-7341-42D8-A749-33796E02C597}"/>
  <tableColumns count="14">
    <tableColumn id="1" xr3:uid="{65BADFF2-A3F9-45A7-B570-ED94D3187C6C}" name="Name" dataDxfId="61"/>
    <tableColumn id="2" xr3:uid="{A97025EC-DAE3-41A2-B104-1E1652BE76E0}" name="Base Damage" dataDxfId="60"/>
    <tableColumn id="3" xr3:uid="{56E9E1E0-3CF6-4114-AC7C-14196B663123}" name="Base Healing" dataDxfId="59"/>
    <tableColumn id="14" xr3:uid="{F10DA189-7609-4366-9644-EF36D398AF9E}" name="Cooldown" dataDxfId="34"/>
    <tableColumn id="4" xr3:uid="{F800FB59-F87D-4C43-8C62-BDC1A8668EE2}" name="Cast Time" dataDxfId="58"/>
    <tableColumn id="5" xr3:uid="{301901CD-9BEE-43E6-8704-9B68B0534D68}" name="Type" dataDxfId="57"/>
    <tableColumn id="6" xr3:uid="{1989C680-747F-4FB1-8F36-34BF0B1FA782}" name="Damage Type" dataDxfId="56"/>
    <tableColumn id="7" xr3:uid="{12B919CC-10AF-4355-BF36-6EDA9B424A0A}" name="Is AOE" dataDxfId="55"/>
    <tableColumn id="8" xr3:uid="{CE7CC656-4C27-489E-9D91-0C684454D0E1}" name="Buff Duration" dataDxfId="54"/>
    <tableColumn id="9" xr3:uid="{E8BC74E2-56EC-49F9-AE45-45D45D040054}" name="Crit Bonus" dataDxfId="53" dataCellStyle="Percent"/>
    <tableColumn id="10" xr3:uid="{E68FFFAD-5294-4FE0-ADFE-C0114CD02111}" name="Damage Multi" dataDxfId="52" dataCellStyle="Percent"/>
    <tableColumn id="11" xr3:uid="{2EB2655A-3DEE-4B04-A235-5FAA0F4435C4}" name="Haste Bonus" dataDxfId="51" dataCellStyle="Percent"/>
    <tableColumn id="12" xr3:uid="{CB22D003-ACF8-42F8-9189-6BA71C7E7A77}" name="DR Bonus" dataDxfId="50" dataCellStyle="Percent"/>
    <tableColumn id="13" xr3:uid="{CD7F3417-4177-4F15-BD8E-2AB03DD42372}" name="Buff Scope" dataDxfId="4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49</v>
      </c>
      <c r="B2" s="1">
        <v>0</v>
      </c>
      <c r="C2" s="1">
        <v>0</v>
      </c>
      <c r="D2" s="1">
        <v>45</v>
      </c>
      <c r="E2" s="1">
        <v>2</v>
      </c>
      <c r="F2" s="1" t="s">
        <v>21</v>
      </c>
      <c r="G2" s="1" t="s">
        <v>36</v>
      </c>
      <c r="H2" s="1" t="s">
        <v>16</v>
      </c>
      <c r="I2" s="1">
        <v>20</v>
      </c>
      <c r="J2" s="2">
        <v>0</v>
      </c>
      <c r="K2" s="2">
        <v>0.08</v>
      </c>
      <c r="L2" s="2">
        <v>0</v>
      </c>
      <c r="M2" s="2">
        <v>0</v>
      </c>
      <c r="N2" s="1" t="s">
        <v>19</v>
      </c>
    </row>
    <row r="3" spans="1:14" ht="61.5" customHeight="1" x14ac:dyDescent="0.25">
      <c r="A3" s="1" t="s">
        <v>50</v>
      </c>
      <c r="B3" s="1">
        <v>60</v>
      </c>
      <c r="C3" s="1">
        <v>0</v>
      </c>
      <c r="D3" s="1">
        <v>12</v>
      </c>
      <c r="E3" s="1">
        <v>2</v>
      </c>
      <c r="F3" s="1" t="s">
        <v>14</v>
      </c>
      <c r="G3" s="1" t="s">
        <v>36</v>
      </c>
      <c r="H3" s="1" t="s">
        <v>44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51</v>
      </c>
      <c r="B4" s="1">
        <v>85</v>
      </c>
      <c r="C4" s="1">
        <v>0</v>
      </c>
      <c r="D4" s="1">
        <v>0</v>
      </c>
      <c r="E4" s="1">
        <v>2.5</v>
      </c>
      <c r="F4" s="1" t="s">
        <v>14</v>
      </c>
      <c r="G4" s="1" t="s">
        <v>36</v>
      </c>
      <c r="H4" s="1" t="s">
        <v>16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52</v>
      </c>
      <c r="B5" s="1">
        <v>120</v>
      </c>
      <c r="C5" s="1">
        <v>0</v>
      </c>
      <c r="D5" s="1">
        <v>15</v>
      </c>
      <c r="E5" s="1">
        <v>3</v>
      </c>
      <c r="F5" s="1" t="s">
        <v>14</v>
      </c>
      <c r="G5" s="1" t="s">
        <v>36</v>
      </c>
      <c r="H5" s="1" t="s">
        <v>16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53</v>
      </c>
      <c r="B6" s="1">
        <v>0</v>
      </c>
      <c r="C6" s="1">
        <v>0</v>
      </c>
      <c r="D6" s="1">
        <v>30</v>
      </c>
      <c r="E6" s="1">
        <v>2</v>
      </c>
      <c r="F6" s="1" t="s">
        <v>21</v>
      </c>
      <c r="G6" s="1" t="s">
        <v>36</v>
      </c>
      <c r="H6" s="1" t="s">
        <v>16</v>
      </c>
      <c r="I6" s="1">
        <v>12</v>
      </c>
      <c r="J6" s="2">
        <v>0.05</v>
      </c>
      <c r="K6" s="2">
        <v>0</v>
      </c>
      <c r="L6" s="2">
        <v>0</v>
      </c>
      <c r="M6" s="2">
        <v>0</v>
      </c>
      <c r="N6" s="1" t="s">
        <v>19</v>
      </c>
    </row>
    <row r="7" spans="1:14" ht="61.5" customHeight="1" x14ac:dyDescent="0.25">
      <c r="A7" s="1" t="s">
        <v>54</v>
      </c>
      <c r="B7" s="1">
        <v>55</v>
      </c>
      <c r="C7" s="1">
        <v>0</v>
      </c>
      <c r="D7" s="1">
        <v>0</v>
      </c>
      <c r="E7" s="1">
        <v>2</v>
      </c>
      <c r="F7" s="1" t="s">
        <v>14</v>
      </c>
      <c r="G7" s="1" t="s">
        <v>36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55</v>
      </c>
      <c r="B2" s="1">
        <v>0</v>
      </c>
      <c r="C2" s="1">
        <v>0</v>
      </c>
      <c r="D2" s="1">
        <v>30</v>
      </c>
      <c r="E2" s="1">
        <v>2.5</v>
      </c>
      <c r="F2" s="1" t="s">
        <v>21</v>
      </c>
      <c r="G2" s="1" t="s">
        <v>28</v>
      </c>
      <c r="H2" s="1" t="s">
        <v>16</v>
      </c>
      <c r="I2" s="1">
        <v>10</v>
      </c>
      <c r="J2" s="2">
        <v>0.05</v>
      </c>
      <c r="K2" s="2">
        <v>0</v>
      </c>
      <c r="L2" s="2">
        <v>0</v>
      </c>
      <c r="M2" s="2">
        <v>0</v>
      </c>
      <c r="N2" s="1" t="s">
        <v>19</v>
      </c>
    </row>
    <row r="3" spans="1:14" ht="61.5" customHeight="1" x14ac:dyDescent="0.25">
      <c r="A3" s="1" t="s">
        <v>56</v>
      </c>
      <c r="B3" s="1">
        <v>0</v>
      </c>
      <c r="C3" s="1">
        <v>0</v>
      </c>
      <c r="D3" s="1">
        <v>25</v>
      </c>
      <c r="E3" s="1">
        <v>2</v>
      </c>
      <c r="F3" s="1" t="s">
        <v>21</v>
      </c>
      <c r="G3" s="1" t="s">
        <v>28</v>
      </c>
      <c r="H3" s="1" t="s">
        <v>16</v>
      </c>
      <c r="I3" s="1">
        <v>8</v>
      </c>
      <c r="J3" s="2">
        <v>0</v>
      </c>
      <c r="K3" s="2">
        <v>0</v>
      </c>
      <c r="L3" s="2">
        <v>0.04</v>
      </c>
      <c r="M3" s="2">
        <v>0</v>
      </c>
      <c r="N3" s="1" t="s">
        <v>19</v>
      </c>
    </row>
    <row r="4" spans="1:14" ht="61.5" customHeight="1" x14ac:dyDescent="0.25">
      <c r="A4" s="1" t="s">
        <v>57</v>
      </c>
      <c r="B4" s="1">
        <v>0</v>
      </c>
      <c r="C4" s="1">
        <v>0</v>
      </c>
      <c r="D4" s="1">
        <v>40</v>
      </c>
      <c r="E4" s="1">
        <v>3</v>
      </c>
      <c r="F4" s="1" t="s">
        <v>21</v>
      </c>
      <c r="G4" s="1" t="s">
        <v>28</v>
      </c>
      <c r="H4" s="1" t="s">
        <v>16</v>
      </c>
      <c r="I4" s="1">
        <v>15</v>
      </c>
      <c r="J4" s="2">
        <v>0</v>
      </c>
      <c r="K4" s="2">
        <v>0.06</v>
      </c>
      <c r="L4" s="2">
        <v>0</v>
      </c>
      <c r="M4" s="2">
        <v>0</v>
      </c>
      <c r="N4" s="1" t="s">
        <v>19</v>
      </c>
    </row>
    <row r="5" spans="1:14" ht="61.5" customHeight="1" x14ac:dyDescent="0.25">
      <c r="A5" s="1" t="s">
        <v>58</v>
      </c>
      <c r="B5" s="1">
        <v>25</v>
      </c>
      <c r="C5" s="1">
        <v>0</v>
      </c>
      <c r="D5" s="1">
        <v>0</v>
      </c>
      <c r="E5" s="1">
        <v>1.5</v>
      </c>
      <c r="F5" s="1" t="s">
        <v>14</v>
      </c>
      <c r="G5" s="1" t="s">
        <v>15</v>
      </c>
      <c r="H5" s="1" t="s">
        <v>16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59</v>
      </c>
      <c r="B6" s="1">
        <v>0</v>
      </c>
      <c r="C6" s="1">
        <v>0</v>
      </c>
      <c r="D6" s="1">
        <v>12</v>
      </c>
      <c r="E6" s="1">
        <v>1.5</v>
      </c>
      <c r="F6" s="1" t="s">
        <v>21</v>
      </c>
      <c r="G6" s="1" t="s">
        <v>28</v>
      </c>
      <c r="H6" s="1" t="s">
        <v>16</v>
      </c>
      <c r="I6" s="1">
        <v>12</v>
      </c>
      <c r="J6" s="2">
        <v>0</v>
      </c>
      <c r="K6" s="2">
        <v>0</v>
      </c>
      <c r="L6" s="2">
        <v>0.02</v>
      </c>
      <c r="M6" s="2">
        <v>0</v>
      </c>
      <c r="N6" s="1" t="s">
        <v>22</v>
      </c>
    </row>
    <row r="7" spans="1:14" ht="61.5" customHeight="1" x14ac:dyDescent="0.25">
      <c r="A7" s="1" t="s">
        <v>60</v>
      </c>
      <c r="B7" s="1">
        <v>0</v>
      </c>
      <c r="C7" s="1">
        <v>0</v>
      </c>
      <c r="D7" s="1">
        <v>35</v>
      </c>
      <c r="E7" s="1">
        <v>2</v>
      </c>
      <c r="F7" s="1" t="s">
        <v>21</v>
      </c>
      <c r="G7" s="1" t="s">
        <v>28</v>
      </c>
      <c r="H7" s="1" t="s">
        <v>16</v>
      </c>
      <c r="I7" s="1">
        <v>10</v>
      </c>
      <c r="J7" s="2">
        <v>0</v>
      </c>
      <c r="K7" s="2">
        <v>0</v>
      </c>
      <c r="L7" s="2">
        <v>0</v>
      </c>
      <c r="M7" s="2">
        <v>0.05</v>
      </c>
      <c r="N7" s="1" t="s">
        <v>19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61</v>
      </c>
      <c r="B2" s="1">
        <v>130</v>
      </c>
      <c r="C2" s="1">
        <v>0</v>
      </c>
      <c r="D2" s="1">
        <v>0</v>
      </c>
      <c r="E2" s="1">
        <v>1.5</v>
      </c>
      <c r="F2" s="1" t="s">
        <v>14</v>
      </c>
      <c r="G2" s="1" t="s">
        <v>15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62</v>
      </c>
      <c r="B3" s="1">
        <v>75</v>
      </c>
      <c r="C3" s="1">
        <v>0</v>
      </c>
      <c r="D3" s="1">
        <v>6</v>
      </c>
      <c r="E3" s="1">
        <v>1.2</v>
      </c>
      <c r="F3" s="1" t="s">
        <v>14</v>
      </c>
      <c r="G3" s="1" t="s">
        <v>15</v>
      </c>
      <c r="H3" s="1" t="s">
        <v>16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63</v>
      </c>
      <c r="B4" s="1">
        <v>200</v>
      </c>
      <c r="C4" s="1">
        <v>0</v>
      </c>
      <c r="D4" s="1">
        <v>0</v>
      </c>
      <c r="E4" s="1">
        <v>2</v>
      </c>
      <c r="F4" s="1" t="s">
        <v>14</v>
      </c>
      <c r="G4" s="1" t="s">
        <v>15</v>
      </c>
      <c r="H4" s="1" t="s">
        <v>16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64</v>
      </c>
      <c r="B5" s="1">
        <v>55</v>
      </c>
      <c r="C5" s="1">
        <v>0</v>
      </c>
      <c r="D5" s="1">
        <v>15</v>
      </c>
      <c r="E5" s="1">
        <v>1</v>
      </c>
      <c r="F5" s="1" t="s">
        <v>14</v>
      </c>
      <c r="G5" s="1" t="s">
        <v>15</v>
      </c>
      <c r="H5" s="1" t="s">
        <v>44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65</v>
      </c>
      <c r="B6" s="1">
        <v>0</v>
      </c>
      <c r="C6" s="1">
        <v>0</v>
      </c>
      <c r="D6" s="1">
        <v>45</v>
      </c>
      <c r="E6" s="1">
        <v>1.5</v>
      </c>
      <c r="F6" s="1" t="s">
        <v>21</v>
      </c>
      <c r="G6" s="1" t="s">
        <v>15</v>
      </c>
      <c r="H6" s="1" t="s">
        <v>16</v>
      </c>
      <c r="I6" s="1">
        <v>10</v>
      </c>
      <c r="J6" s="2">
        <v>0.1</v>
      </c>
      <c r="K6" s="2">
        <v>0.15</v>
      </c>
      <c r="L6" s="2">
        <v>0</v>
      </c>
      <c r="M6" s="2">
        <v>0</v>
      </c>
      <c r="N6" s="1" t="s">
        <v>22</v>
      </c>
    </row>
    <row r="7" spans="1:14" ht="61.5" customHeight="1" x14ac:dyDescent="0.25">
      <c r="A7" s="1" t="s">
        <v>66</v>
      </c>
      <c r="B7" s="1">
        <v>60</v>
      </c>
      <c r="C7" s="1">
        <v>0</v>
      </c>
      <c r="D7" s="1">
        <v>0</v>
      </c>
      <c r="E7" s="1">
        <v>0.8</v>
      </c>
      <c r="F7" s="1" t="s">
        <v>14</v>
      </c>
      <c r="G7" s="1" t="s">
        <v>15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67</v>
      </c>
      <c r="B2" s="1">
        <v>0</v>
      </c>
      <c r="C2" s="1">
        <v>0</v>
      </c>
      <c r="D2" s="1">
        <v>30</v>
      </c>
      <c r="E2" s="1">
        <v>2</v>
      </c>
      <c r="F2" s="1" t="s">
        <v>21</v>
      </c>
      <c r="G2" s="1" t="s">
        <v>36</v>
      </c>
      <c r="H2" s="1" t="s">
        <v>16</v>
      </c>
      <c r="I2" s="1">
        <v>20</v>
      </c>
      <c r="J2" s="2">
        <v>0</v>
      </c>
      <c r="K2" s="2">
        <v>0.07</v>
      </c>
      <c r="L2" s="2">
        <v>0</v>
      </c>
      <c r="M2" s="2">
        <v>0</v>
      </c>
      <c r="N2" s="1" t="s">
        <v>19</v>
      </c>
    </row>
    <row r="3" spans="1:14" ht="61.5" customHeight="1" x14ac:dyDescent="0.25">
      <c r="A3" s="1" t="s">
        <v>68</v>
      </c>
      <c r="B3" s="1">
        <v>90</v>
      </c>
      <c r="C3" s="1">
        <v>0</v>
      </c>
      <c r="D3" s="1">
        <v>0</v>
      </c>
      <c r="E3" s="1">
        <v>2</v>
      </c>
      <c r="F3" s="1" t="s">
        <v>14</v>
      </c>
      <c r="G3" s="1" t="s">
        <v>36</v>
      </c>
      <c r="H3" s="1" t="s">
        <v>16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69</v>
      </c>
      <c r="B4" s="1">
        <v>160</v>
      </c>
      <c r="C4" s="1">
        <v>0</v>
      </c>
      <c r="D4" s="1">
        <v>20</v>
      </c>
      <c r="E4" s="1">
        <v>3</v>
      </c>
      <c r="F4" s="1" t="s">
        <v>14</v>
      </c>
      <c r="G4" s="1" t="s">
        <v>36</v>
      </c>
      <c r="H4" s="1" t="s">
        <v>16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70</v>
      </c>
      <c r="B5" s="1">
        <v>45</v>
      </c>
      <c r="C5" s="1">
        <v>0</v>
      </c>
      <c r="D5" s="1">
        <v>10</v>
      </c>
      <c r="E5" s="1">
        <v>1.5</v>
      </c>
      <c r="F5" s="1" t="s">
        <v>14</v>
      </c>
      <c r="G5" s="1" t="s">
        <v>36</v>
      </c>
      <c r="H5" s="1" t="s">
        <v>44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71</v>
      </c>
      <c r="B6" s="1">
        <v>70</v>
      </c>
      <c r="C6" s="1">
        <v>0</v>
      </c>
      <c r="D6" s="1">
        <v>0</v>
      </c>
      <c r="E6" s="1">
        <v>1.5</v>
      </c>
      <c r="F6" s="1" t="s">
        <v>14</v>
      </c>
      <c r="G6" s="1" t="s">
        <v>36</v>
      </c>
      <c r="H6" s="1" t="s">
        <v>16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1" t="s">
        <v>17</v>
      </c>
    </row>
    <row r="7" spans="1:14" ht="61.5" customHeight="1" x14ac:dyDescent="0.25">
      <c r="A7" s="1" t="s">
        <v>72</v>
      </c>
      <c r="B7" s="1">
        <v>110</v>
      </c>
      <c r="C7" s="1">
        <v>0</v>
      </c>
      <c r="D7" s="1">
        <v>8</v>
      </c>
      <c r="E7" s="1">
        <v>2</v>
      </c>
      <c r="F7" s="1" t="s">
        <v>14</v>
      </c>
      <c r="G7" s="1" t="s">
        <v>36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73</v>
      </c>
      <c r="B2" s="1">
        <v>80</v>
      </c>
      <c r="C2" s="1">
        <v>0</v>
      </c>
      <c r="D2" s="1">
        <v>0</v>
      </c>
      <c r="E2" s="1">
        <v>2.5</v>
      </c>
      <c r="F2" s="1" t="s">
        <v>14</v>
      </c>
      <c r="G2" s="1" t="s">
        <v>74</v>
      </c>
      <c r="H2" s="1" t="s">
        <v>44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75</v>
      </c>
      <c r="B3" s="1">
        <v>60</v>
      </c>
      <c r="C3" s="1">
        <v>0</v>
      </c>
      <c r="D3" s="1">
        <v>15</v>
      </c>
      <c r="E3" s="1">
        <v>2</v>
      </c>
      <c r="F3" s="1" t="s">
        <v>14</v>
      </c>
      <c r="G3" s="1" t="s">
        <v>76</v>
      </c>
      <c r="H3" s="1" t="s">
        <v>44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77</v>
      </c>
      <c r="B4" s="1">
        <v>70</v>
      </c>
      <c r="C4" s="1">
        <v>0</v>
      </c>
      <c r="D4" s="1">
        <v>8</v>
      </c>
      <c r="E4" s="1">
        <v>1.8</v>
      </c>
      <c r="F4" s="1" t="s">
        <v>14</v>
      </c>
      <c r="G4" s="1" t="s">
        <v>78</v>
      </c>
      <c r="H4" s="1" t="s">
        <v>44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79</v>
      </c>
      <c r="B5" s="1">
        <v>200</v>
      </c>
      <c r="C5" s="1">
        <v>0</v>
      </c>
      <c r="D5" s="1">
        <v>45</v>
      </c>
      <c r="E5" s="1">
        <v>4</v>
      </c>
      <c r="F5" s="1" t="s">
        <v>14</v>
      </c>
      <c r="G5" s="1" t="s">
        <v>74</v>
      </c>
      <c r="H5" s="1" t="s">
        <v>16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80</v>
      </c>
      <c r="B6" s="1">
        <v>30</v>
      </c>
      <c r="C6" s="1">
        <v>0</v>
      </c>
      <c r="D6" s="1">
        <v>20</v>
      </c>
      <c r="E6" s="1">
        <v>2</v>
      </c>
      <c r="F6" s="1" t="s">
        <v>21</v>
      </c>
      <c r="G6" s="1" t="s">
        <v>74</v>
      </c>
      <c r="H6" s="1" t="s">
        <v>44</v>
      </c>
      <c r="I6" s="1">
        <v>12</v>
      </c>
      <c r="J6" s="2">
        <v>0</v>
      </c>
      <c r="K6" s="2">
        <v>0.04</v>
      </c>
      <c r="L6" s="2">
        <v>0</v>
      </c>
      <c r="M6" s="2">
        <v>0</v>
      </c>
      <c r="N6" s="1" t="s">
        <v>19</v>
      </c>
    </row>
    <row r="7" spans="1:14" ht="61.5" customHeight="1" x14ac:dyDescent="0.25">
      <c r="A7" s="1" t="s">
        <v>81</v>
      </c>
      <c r="B7" s="1">
        <v>95</v>
      </c>
      <c r="C7" s="1">
        <v>0</v>
      </c>
      <c r="D7" s="1">
        <v>0</v>
      </c>
      <c r="E7" s="1">
        <v>2.2</v>
      </c>
      <c r="F7" s="1" t="s">
        <v>14</v>
      </c>
      <c r="G7" s="1" t="s">
        <v>74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82</v>
      </c>
      <c r="B2" s="1">
        <v>100</v>
      </c>
      <c r="C2" s="1">
        <v>0</v>
      </c>
      <c r="D2" s="1">
        <v>0</v>
      </c>
      <c r="E2" s="1">
        <v>2</v>
      </c>
      <c r="F2" s="1" t="s">
        <v>14</v>
      </c>
      <c r="G2" s="1" t="s">
        <v>86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83</v>
      </c>
      <c r="B3" s="1">
        <v>140</v>
      </c>
      <c r="C3" s="1">
        <v>0</v>
      </c>
      <c r="D3" s="1">
        <v>15</v>
      </c>
      <c r="E3" s="1">
        <v>2.5</v>
      </c>
      <c r="F3" s="1" t="s">
        <v>14</v>
      </c>
      <c r="G3" s="1" t="s">
        <v>86</v>
      </c>
      <c r="H3" s="1" t="s">
        <v>16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84</v>
      </c>
      <c r="B4" s="1">
        <v>175</v>
      </c>
      <c r="C4" s="1">
        <v>0</v>
      </c>
      <c r="D4" s="1">
        <v>20</v>
      </c>
      <c r="E4" s="1">
        <v>3</v>
      </c>
      <c r="F4" s="1" t="s">
        <v>14</v>
      </c>
      <c r="G4" s="1" t="s">
        <v>86</v>
      </c>
      <c r="H4" s="1" t="s">
        <v>16</v>
      </c>
      <c r="I4" s="1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85</v>
      </c>
      <c r="B5" s="1">
        <v>0</v>
      </c>
      <c r="C5" s="1">
        <v>0</v>
      </c>
      <c r="D5" s="1">
        <v>30</v>
      </c>
      <c r="E5" s="1">
        <v>1.5</v>
      </c>
      <c r="F5" s="1" t="s">
        <v>21</v>
      </c>
      <c r="G5" s="1" t="s">
        <v>86</v>
      </c>
      <c r="H5" s="1" t="s">
        <v>16</v>
      </c>
      <c r="I5" s="1">
        <v>10</v>
      </c>
      <c r="J5" s="2">
        <v>0.05</v>
      </c>
      <c r="K5" s="2">
        <v>0.08</v>
      </c>
      <c r="L5" s="2">
        <v>0.03</v>
      </c>
      <c r="M5" s="2">
        <v>0</v>
      </c>
      <c r="N5" s="1" t="s">
        <v>22</v>
      </c>
    </row>
    <row r="6" spans="1:14" ht="61.5" customHeight="1" x14ac:dyDescent="0.25">
      <c r="A6" s="1" t="s">
        <v>87</v>
      </c>
      <c r="B6" s="1">
        <v>280</v>
      </c>
      <c r="C6" s="1">
        <v>0</v>
      </c>
      <c r="D6" s="1">
        <v>60</v>
      </c>
      <c r="E6" s="1">
        <v>4</v>
      </c>
      <c r="F6" s="1" t="s">
        <v>14</v>
      </c>
      <c r="G6" s="1" t="s">
        <v>86</v>
      </c>
      <c r="H6" s="1" t="s">
        <v>16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1" t="s">
        <v>17</v>
      </c>
    </row>
    <row r="7" spans="1:14" ht="61.5" customHeight="1" x14ac:dyDescent="0.25">
      <c r="A7" s="1" t="s">
        <v>88</v>
      </c>
      <c r="B7" s="1">
        <v>65</v>
      </c>
      <c r="C7" s="1">
        <v>0</v>
      </c>
      <c r="D7" s="1">
        <v>0</v>
      </c>
      <c r="E7" s="1">
        <v>1.5</v>
      </c>
      <c r="F7" s="1" t="s">
        <v>14</v>
      </c>
      <c r="G7" s="1" t="s">
        <v>86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9"/>
  <sheetViews>
    <sheetView tabSelected="1" workbookViewId="0"/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42</v>
      </c>
      <c r="B2" s="1">
        <v>0</v>
      </c>
      <c r="C2" s="1">
        <v>150</v>
      </c>
      <c r="D2" s="1">
        <v>3</v>
      </c>
      <c r="E2" s="1">
        <v>3</v>
      </c>
      <c r="F2" s="1" t="s">
        <v>27</v>
      </c>
      <c r="G2" s="1" t="s">
        <v>28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43</v>
      </c>
      <c r="B3" s="1">
        <v>0</v>
      </c>
      <c r="C3" s="1">
        <v>125</v>
      </c>
      <c r="D3" s="1">
        <v>10</v>
      </c>
      <c r="E3" s="1">
        <v>2.8</v>
      </c>
      <c r="F3" s="1" t="s">
        <v>27</v>
      </c>
      <c r="G3" s="1" t="s">
        <v>28</v>
      </c>
      <c r="H3" s="1" t="s">
        <v>44</v>
      </c>
      <c r="I3" s="1">
        <v>0</v>
      </c>
      <c r="J3" s="2">
        <v>0</v>
      </c>
      <c r="K3" s="2">
        <v>0</v>
      </c>
      <c r="L3" s="2">
        <v>0</v>
      </c>
      <c r="M3" s="2">
        <v>0</v>
      </c>
      <c r="N3" s="1" t="s">
        <v>17</v>
      </c>
    </row>
    <row r="4" spans="1:14" ht="61.5" customHeight="1" x14ac:dyDescent="0.25">
      <c r="A4" s="1" t="s">
        <v>45</v>
      </c>
      <c r="B4" s="1">
        <v>0</v>
      </c>
      <c r="C4" s="1">
        <v>30</v>
      </c>
      <c r="D4" s="1">
        <v>25</v>
      </c>
      <c r="E4" s="1">
        <v>2</v>
      </c>
      <c r="F4" s="1" t="s">
        <v>27</v>
      </c>
      <c r="G4" s="1" t="s">
        <v>28</v>
      </c>
      <c r="H4" s="1" t="s">
        <v>16</v>
      </c>
      <c r="I4" s="1">
        <v>15</v>
      </c>
      <c r="J4" s="2">
        <v>0</v>
      </c>
      <c r="K4" s="2">
        <v>0</v>
      </c>
      <c r="L4" s="2">
        <v>0</v>
      </c>
      <c r="M4" s="2">
        <v>0.15</v>
      </c>
      <c r="N4" s="1" t="s">
        <v>24</v>
      </c>
    </row>
    <row r="5" spans="1:14" ht="61.5" customHeight="1" x14ac:dyDescent="0.25">
      <c r="A5" s="1" t="s">
        <v>46</v>
      </c>
      <c r="B5" s="1">
        <v>50</v>
      </c>
      <c r="C5" s="1">
        <v>0</v>
      </c>
      <c r="D5" s="1">
        <v>0</v>
      </c>
      <c r="E5" s="1">
        <v>1.8</v>
      </c>
      <c r="F5" s="1" t="s">
        <v>14</v>
      </c>
      <c r="G5" s="1" t="s">
        <v>28</v>
      </c>
      <c r="H5" s="1" t="s">
        <v>16</v>
      </c>
      <c r="I5" s="1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47</v>
      </c>
      <c r="B6" s="1">
        <v>0</v>
      </c>
      <c r="C6" s="1">
        <v>400</v>
      </c>
      <c r="D6" s="1">
        <v>45</v>
      </c>
      <c r="E6" s="1">
        <v>2.5</v>
      </c>
      <c r="F6" s="1" t="s">
        <v>27</v>
      </c>
      <c r="G6" s="1" t="s">
        <v>28</v>
      </c>
      <c r="H6" s="1" t="s">
        <v>16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1" t="s">
        <v>17</v>
      </c>
    </row>
    <row r="7" spans="1:14" ht="61.5" customHeight="1" x14ac:dyDescent="0.25">
      <c r="A7" s="1" t="s">
        <v>48</v>
      </c>
      <c r="B7" s="1">
        <v>0</v>
      </c>
      <c r="C7" s="1">
        <v>80</v>
      </c>
      <c r="D7" s="1">
        <v>30</v>
      </c>
      <c r="E7" s="1">
        <v>3</v>
      </c>
      <c r="F7" s="1" t="s">
        <v>27</v>
      </c>
      <c r="G7" s="1" t="s">
        <v>28</v>
      </c>
      <c r="H7" s="1" t="s">
        <v>44</v>
      </c>
      <c r="I7" s="1">
        <v>10</v>
      </c>
      <c r="J7" s="2">
        <v>0</v>
      </c>
      <c r="K7" s="2">
        <v>0</v>
      </c>
      <c r="L7" s="2">
        <v>0.02</v>
      </c>
      <c r="M7" s="2">
        <v>0</v>
      </c>
      <c r="N7" s="1" t="s">
        <v>19</v>
      </c>
    </row>
    <row r="8" spans="1:14" ht="61.5" customHeight="1" x14ac:dyDescent="0.25"/>
    <row r="9" spans="1:14" ht="61.5" customHeight="1" x14ac:dyDescent="0.25"/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75D6-06DA-4B1D-BCAE-CDA948622BC1}">
  <dimension ref="A1:N9"/>
  <sheetViews>
    <sheetView workbookViewId="0">
      <selection activeCell="G8" sqref="G8"/>
    </sheetView>
  </sheetViews>
  <sheetFormatPr defaultColWidth="18.5703125" defaultRowHeight="15" x14ac:dyDescent="0.25"/>
  <cols>
    <col min="1" max="8" width="18.5703125" style="1"/>
    <col min="9" max="9" width="18.5703125" style="5"/>
    <col min="10" max="16384" width="18.5703125" style="1"/>
  </cols>
  <sheetData>
    <row r="1" spans="1:14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5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35</v>
      </c>
      <c r="B2" s="1">
        <v>45</v>
      </c>
      <c r="C2" s="1">
        <f t="shared" ref="C2:C9" si="0">(B2*2)</f>
        <v>90</v>
      </c>
      <c r="D2" s="1">
        <v>0</v>
      </c>
      <c r="E2" s="1">
        <v>2.5</v>
      </c>
      <c r="F2" s="1" t="s">
        <v>27</v>
      </c>
      <c r="G2" s="1" t="s">
        <v>36</v>
      </c>
      <c r="H2" s="1" t="s">
        <v>16</v>
      </c>
      <c r="I2" s="4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ht="61.5" customHeight="1" x14ac:dyDescent="0.25">
      <c r="A3" s="1" t="s">
        <v>37</v>
      </c>
      <c r="B3" s="1">
        <v>0</v>
      </c>
      <c r="C3" s="1">
        <v>0</v>
      </c>
      <c r="D3" s="1">
        <v>30</v>
      </c>
      <c r="E3" s="1">
        <v>1</v>
      </c>
      <c r="F3" s="1" t="s">
        <v>21</v>
      </c>
      <c r="G3" s="1" t="s">
        <v>36</v>
      </c>
      <c r="H3" s="1" t="s">
        <v>16</v>
      </c>
      <c r="I3" s="4">
        <v>20</v>
      </c>
      <c r="J3" s="2">
        <v>0.1</v>
      </c>
      <c r="K3" s="2">
        <v>0</v>
      </c>
      <c r="L3" s="2">
        <v>0</v>
      </c>
      <c r="M3" s="2">
        <v>0</v>
      </c>
      <c r="N3" s="1" t="s">
        <v>22</v>
      </c>
    </row>
    <row r="4" spans="1:14" ht="61.5" customHeight="1" x14ac:dyDescent="0.25">
      <c r="A4" s="1" t="s">
        <v>38</v>
      </c>
      <c r="B4" s="1">
        <v>97</v>
      </c>
      <c r="C4" s="1">
        <f>SUM(Table26[[#This Row],[Base Damage]]*2)</f>
        <v>194</v>
      </c>
      <c r="D4" s="1">
        <v>10</v>
      </c>
      <c r="E4" s="1">
        <v>3</v>
      </c>
      <c r="F4" s="1" t="s">
        <v>27</v>
      </c>
      <c r="G4" s="1" t="s">
        <v>36</v>
      </c>
      <c r="H4" s="1" t="s">
        <v>16</v>
      </c>
      <c r="I4" s="4">
        <v>0</v>
      </c>
      <c r="J4" s="2">
        <v>0</v>
      </c>
      <c r="K4" s="2">
        <v>0</v>
      </c>
      <c r="L4" s="2">
        <v>0</v>
      </c>
      <c r="M4" s="2">
        <v>0</v>
      </c>
      <c r="N4" s="1" t="s">
        <v>17</v>
      </c>
    </row>
    <row r="5" spans="1:14" ht="61.5" customHeight="1" x14ac:dyDescent="0.25">
      <c r="A5" s="1" t="s">
        <v>39</v>
      </c>
      <c r="B5" s="1">
        <v>150</v>
      </c>
      <c r="C5" s="1">
        <f>SUM((Table26[[#This Row],[Base Damage]]/2)*-1)</f>
        <v>-75</v>
      </c>
      <c r="D5" s="1">
        <v>25</v>
      </c>
      <c r="E5" s="1">
        <v>3</v>
      </c>
      <c r="F5" s="1" t="s">
        <v>14</v>
      </c>
      <c r="G5" s="1" t="s">
        <v>36</v>
      </c>
      <c r="H5" s="1" t="s">
        <v>16</v>
      </c>
      <c r="I5" s="4">
        <v>0</v>
      </c>
      <c r="J5" s="2">
        <v>0</v>
      </c>
      <c r="K5" s="2">
        <v>0</v>
      </c>
      <c r="L5" s="2">
        <v>0</v>
      </c>
      <c r="M5" s="2">
        <v>0</v>
      </c>
      <c r="N5" s="1" t="s">
        <v>17</v>
      </c>
    </row>
    <row r="6" spans="1:14" ht="61.5" customHeight="1" x14ac:dyDescent="0.25">
      <c r="A6" s="1" t="s">
        <v>40</v>
      </c>
      <c r="B6" s="1">
        <v>0</v>
      </c>
      <c r="C6" s="1">
        <v>0</v>
      </c>
      <c r="D6" s="1">
        <v>45</v>
      </c>
      <c r="E6" s="1">
        <v>2.5</v>
      </c>
      <c r="F6" s="1" t="s">
        <v>21</v>
      </c>
      <c r="G6" s="1" t="s">
        <v>36</v>
      </c>
      <c r="H6" s="1" t="s">
        <v>16</v>
      </c>
      <c r="I6" s="4">
        <v>30</v>
      </c>
      <c r="J6" s="2">
        <v>0</v>
      </c>
      <c r="K6" s="2">
        <v>0.02</v>
      </c>
      <c r="L6" s="2">
        <v>0.05</v>
      </c>
      <c r="M6" s="2">
        <v>0.1</v>
      </c>
      <c r="N6" s="1" t="s">
        <v>24</v>
      </c>
    </row>
    <row r="7" spans="1:14" ht="61.5" customHeight="1" x14ac:dyDescent="0.25">
      <c r="A7" s="1" t="s">
        <v>41</v>
      </c>
      <c r="B7" s="1">
        <v>0</v>
      </c>
      <c r="C7" s="1">
        <v>300</v>
      </c>
      <c r="D7" s="1">
        <v>30</v>
      </c>
      <c r="E7" s="1">
        <v>3</v>
      </c>
      <c r="F7" s="1" t="s">
        <v>27</v>
      </c>
      <c r="G7" s="1" t="s">
        <v>36</v>
      </c>
      <c r="H7" s="1" t="s">
        <v>16</v>
      </c>
      <c r="I7" s="4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ht="61.5" customHeight="1" x14ac:dyDescent="0.25">
      <c r="I8" s="4"/>
      <c r="J8" s="2"/>
      <c r="K8" s="2"/>
      <c r="L8" s="2"/>
      <c r="M8" s="2"/>
    </row>
    <row r="9" spans="1:14" ht="61.5" customHeight="1" x14ac:dyDescent="0.25">
      <c r="I9" s="4"/>
      <c r="J9" s="2"/>
      <c r="K9" s="2"/>
      <c r="L9" s="2"/>
      <c r="M9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8855-B2A1-4F94-83F1-6C9CAAA99268}">
  <dimension ref="A1:N9"/>
  <sheetViews>
    <sheetView workbookViewId="0">
      <selection activeCell="G7" sqref="G7"/>
    </sheetView>
  </sheetViews>
  <sheetFormatPr defaultColWidth="18.5703125" defaultRowHeight="15" x14ac:dyDescent="0.25"/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61.5" customHeight="1" x14ac:dyDescent="0.25">
      <c r="A2" s="1" t="s">
        <v>29</v>
      </c>
      <c r="B2" s="1">
        <v>0</v>
      </c>
      <c r="C2" s="1">
        <v>0</v>
      </c>
      <c r="D2" s="1">
        <v>30</v>
      </c>
      <c r="E2" s="1">
        <v>3</v>
      </c>
      <c r="F2" s="1" t="s">
        <v>21</v>
      </c>
      <c r="G2" s="1" t="s">
        <v>15</v>
      </c>
      <c r="H2" s="1" t="s">
        <v>16</v>
      </c>
      <c r="I2" s="1">
        <v>10</v>
      </c>
      <c r="J2" s="2">
        <v>0.03</v>
      </c>
      <c r="K2" s="2">
        <v>0</v>
      </c>
      <c r="L2" s="2">
        <v>0</v>
      </c>
      <c r="M2" s="2">
        <v>0</v>
      </c>
      <c r="N2" s="1" t="s">
        <v>19</v>
      </c>
    </row>
    <row r="3" spans="1:14" ht="61.5" customHeight="1" x14ac:dyDescent="0.25">
      <c r="A3" s="1" t="s">
        <v>30</v>
      </c>
      <c r="B3" s="1">
        <v>97</v>
      </c>
      <c r="C3" s="1">
        <v>0</v>
      </c>
      <c r="D3" s="1">
        <v>0</v>
      </c>
      <c r="E3" s="1">
        <v>6</v>
      </c>
      <c r="F3" s="1" t="s">
        <v>14</v>
      </c>
      <c r="G3" s="1" t="s">
        <v>15</v>
      </c>
      <c r="H3" s="1" t="s">
        <v>16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17</v>
      </c>
    </row>
    <row r="4" spans="1:14" ht="61.5" customHeight="1" x14ac:dyDescent="0.25">
      <c r="A4" s="1" t="s">
        <v>31</v>
      </c>
      <c r="B4" s="1">
        <v>0</v>
      </c>
      <c r="C4" s="1">
        <v>0</v>
      </c>
      <c r="D4" s="1">
        <v>25</v>
      </c>
      <c r="E4" s="1">
        <v>2</v>
      </c>
      <c r="F4" s="1" t="s">
        <v>21</v>
      </c>
      <c r="G4" s="1" t="s">
        <v>15</v>
      </c>
      <c r="H4" s="1" t="s">
        <v>16</v>
      </c>
      <c r="I4" s="1">
        <v>10</v>
      </c>
      <c r="J4" s="2">
        <v>0</v>
      </c>
      <c r="K4" s="2">
        <v>0.02</v>
      </c>
      <c r="L4" s="2">
        <v>0.01</v>
      </c>
      <c r="M4" s="2">
        <v>0</v>
      </c>
      <c r="N4" s="1" t="s">
        <v>19</v>
      </c>
    </row>
    <row r="5" spans="1:14" ht="61.5" customHeight="1" x14ac:dyDescent="0.25">
      <c r="A5" s="1" t="s">
        <v>33</v>
      </c>
      <c r="B5" s="1">
        <v>30</v>
      </c>
      <c r="C5" s="1">
        <v>0</v>
      </c>
      <c r="D5" s="1">
        <v>10</v>
      </c>
      <c r="E5" s="1">
        <v>1</v>
      </c>
      <c r="F5" s="1" t="s">
        <v>14</v>
      </c>
      <c r="G5" s="1" t="s">
        <v>15</v>
      </c>
      <c r="H5" s="1" t="s">
        <v>16</v>
      </c>
      <c r="I5" s="1">
        <v>15</v>
      </c>
      <c r="J5" s="2">
        <v>0</v>
      </c>
      <c r="K5" s="2">
        <v>0</v>
      </c>
      <c r="L5" s="2">
        <v>0</v>
      </c>
      <c r="M5" s="2">
        <v>0.06</v>
      </c>
      <c r="N5" s="1" t="s">
        <v>22</v>
      </c>
    </row>
    <row r="6" spans="1:14" ht="61.5" customHeight="1" x14ac:dyDescent="0.25">
      <c r="A6" s="1" t="s">
        <v>18</v>
      </c>
      <c r="B6" s="1">
        <v>87</v>
      </c>
      <c r="C6" s="1">
        <v>0</v>
      </c>
      <c r="D6" s="1">
        <v>0</v>
      </c>
      <c r="E6" s="1">
        <v>3</v>
      </c>
      <c r="F6" s="1" t="s">
        <v>14</v>
      </c>
      <c r="G6" s="1" t="s">
        <v>15</v>
      </c>
      <c r="H6" s="1" t="s">
        <v>16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17</v>
      </c>
    </row>
    <row r="7" spans="1:14" ht="61.5" customHeight="1" x14ac:dyDescent="0.25">
      <c r="A7" s="1" t="s">
        <v>34</v>
      </c>
      <c r="B7" s="1">
        <v>76</v>
      </c>
      <c r="C7" s="1">
        <v>0</v>
      </c>
      <c r="D7" s="1">
        <v>0</v>
      </c>
      <c r="E7" s="1">
        <v>0</v>
      </c>
      <c r="F7" s="1" t="s">
        <v>14</v>
      </c>
      <c r="G7" s="1" t="s">
        <v>15</v>
      </c>
      <c r="H7" s="1" t="s">
        <v>16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 t="s">
        <v>17</v>
      </c>
    </row>
    <row r="8" spans="1:14" ht="61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  <c r="N8" s="1"/>
    </row>
    <row r="9" spans="1:14" ht="61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  <c r="N9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D114-7484-4594-B5A2-B1119DAE5F6D}">
  <dimension ref="A1:N9"/>
  <sheetViews>
    <sheetView workbookViewId="0">
      <selection activeCell="F9" sqref="F9"/>
    </sheetView>
  </sheetViews>
  <sheetFormatPr defaultColWidth="19" defaultRowHeight="15" x14ac:dyDescent="0.25"/>
  <cols>
    <col min="10" max="13" width="19" style="3"/>
  </cols>
  <sheetData>
    <row r="1" spans="1:14" s="1" customFormat="1" ht="61.5" customHeight="1" x14ac:dyDescent="0.25">
      <c r="A1" s="1" t="s">
        <v>0</v>
      </c>
      <c r="B1" s="1" t="s">
        <v>1</v>
      </c>
      <c r="C1" s="1" t="s">
        <v>2</v>
      </c>
      <c r="D1" s="1" t="s">
        <v>32</v>
      </c>
      <c r="E1" s="1" t="s">
        <v>12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</row>
    <row r="2" spans="1:14" s="1" customFormat="1" ht="61.5" customHeight="1" x14ac:dyDescent="0.25">
      <c r="A2" s="1" t="s">
        <v>13</v>
      </c>
      <c r="B2" s="1">
        <v>55</v>
      </c>
      <c r="C2" s="1">
        <v>0</v>
      </c>
      <c r="D2" s="1">
        <v>0</v>
      </c>
      <c r="E2" s="1">
        <v>0</v>
      </c>
      <c r="F2" s="1" t="s">
        <v>14</v>
      </c>
      <c r="G2" s="1" t="s">
        <v>15</v>
      </c>
      <c r="H2" s="1" t="s">
        <v>16</v>
      </c>
      <c r="I2" s="1">
        <v>0</v>
      </c>
      <c r="J2" s="2">
        <v>0</v>
      </c>
      <c r="K2" s="2">
        <v>0</v>
      </c>
      <c r="L2" s="2">
        <v>0</v>
      </c>
      <c r="M2" s="2">
        <v>0</v>
      </c>
      <c r="N2" s="1" t="s">
        <v>17</v>
      </c>
    </row>
    <row r="3" spans="1:14" s="1" customFormat="1" ht="61.5" customHeight="1" x14ac:dyDescent="0.25">
      <c r="A3" s="1" t="s">
        <v>18</v>
      </c>
      <c r="B3" s="1">
        <v>32</v>
      </c>
      <c r="C3" s="1">
        <v>0</v>
      </c>
      <c r="D3" s="1">
        <v>25</v>
      </c>
      <c r="E3" s="1">
        <v>0</v>
      </c>
      <c r="F3" s="1" t="s">
        <v>14</v>
      </c>
      <c r="G3" s="1" t="s">
        <v>15</v>
      </c>
      <c r="H3" s="1" t="s">
        <v>16</v>
      </c>
      <c r="I3" s="1">
        <v>10</v>
      </c>
      <c r="J3" s="2">
        <v>0</v>
      </c>
      <c r="K3" s="2">
        <v>0</v>
      </c>
      <c r="L3" s="2">
        <v>0.04</v>
      </c>
      <c r="M3" s="2">
        <v>0</v>
      </c>
      <c r="N3" s="1" t="s">
        <v>19</v>
      </c>
    </row>
    <row r="4" spans="1:14" s="1" customFormat="1" ht="61.5" customHeight="1" x14ac:dyDescent="0.25">
      <c r="A4" s="1" t="s">
        <v>20</v>
      </c>
      <c r="B4" s="1">
        <v>0</v>
      </c>
      <c r="C4" s="1">
        <v>0</v>
      </c>
      <c r="D4" s="1">
        <v>15</v>
      </c>
      <c r="E4" s="1">
        <v>0</v>
      </c>
      <c r="F4" s="1" t="s">
        <v>21</v>
      </c>
      <c r="G4" s="1" t="s">
        <v>15</v>
      </c>
      <c r="H4" s="1" t="s">
        <v>16</v>
      </c>
      <c r="I4" s="1">
        <v>6</v>
      </c>
      <c r="J4" s="2">
        <v>0</v>
      </c>
      <c r="K4" s="2">
        <v>0</v>
      </c>
      <c r="L4" s="2">
        <v>0</v>
      </c>
      <c r="M4" s="2">
        <v>0.08</v>
      </c>
      <c r="N4" s="1" t="s">
        <v>22</v>
      </c>
    </row>
    <row r="5" spans="1:14" s="1" customFormat="1" ht="61.5" customHeight="1" x14ac:dyDescent="0.25">
      <c r="A5" s="1" t="s">
        <v>23</v>
      </c>
      <c r="B5" s="1">
        <v>0</v>
      </c>
      <c r="C5" s="1">
        <v>0</v>
      </c>
      <c r="D5" s="1">
        <v>30</v>
      </c>
      <c r="E5" s="1">
        <v>0</v>
      </c>
      <c r="F5" s="1" t="s">
        <v>21</v>
      </c>
      <c r="G5" s="1" t="s">
        <v>15</v>
      </c>
      <c r="H5" s="1" t="s">
        <v>16</v>
      </c>
      <c r="I5" s="1">
        <v>14</v>
      </c>
      <c r="J5" s="2">
        <v>0</v>
      </c>
      <c r="K5" s="2">
        <v>0</v>
      </c>
      <c r="L5" s="2">
        <v>0</v>
      </c>
      <c r="M5" s="2">
        <v>0.15</v>
      </c>
      <c r="N5" s="1" t="s">
        <v>24</v>
      </c>
    </row>
    <row r="6" spans="1:14" s="1" customFormat="1" ht="61.5" customHeight="1" x14ac:dyDescent="0.25">
      <c r="A6" s="1" t="s">
        <v>25</v>
      </c>
      <c r="B6" s="1">
        <v>60</v>
      </c>
      <c r="C6" s="1">
        <v>0</v>
      </c>
      <c r="D6" s="1">
        <v>2</v>
      </c>
      <c r="E6" s="1">
        <v>0</v>
      </c>
      <c r="F6" s="1" t="s">
        <v>14</v>
      </c>
      <c r="G6" s="1" t="s">
        <v>15</v>
      </c>
      <c r="H6" s="1" t="s">
        <v>16</v>
      </c>
      <c r="I6" s="1">
        <v>0</v>
      </c>
      <c r="J6" s="2">
        <v>0</v>
      </c>
      <c r="K6" s="2">
        <v>0</v>
      </c>
      <c r="L6" s="2">
        <v>0</v>
      </c>
      <c r="M6" s="2">
        <v>0</v>
      </c>
      <c r="N6" s="1" t="s">
        <v>17</v>
      </c>
    </row>
    <row r="7" spans="1:14" s="1" customFormat="1" ht="61.5" customHeight="1" x14ac:dyDescent="0.25">
      <c r="A7" s="1" t="s">
        <v>26</v>
      </c>
      <c r="B7" s="1">
        <v>0</v>
      </c>
      <c r="C7" s="1">
        <v>80</v>
      </c>
      <c r="D7" s="1">
        <v>30</v>
      </c>
      <c r="E7" s="1">
        <v>0</v>
      </c>
      <c r="F7" s="1" t="s">
        <v>27</v>
      </c>
      <c r="G7" s="1" t="s">
        <v>28</v>
      </c>
      <c r="H7" s="1" t="s">
        <v>16</v>
      </c>
      <c r="I7" s="1">
        <v>0</v>
      </c>
      <c r="J7" s="2">
        <v>0</v>
      </c>
      <c r="K7" s="2">
        <v>0</v>
      </c>
      <c r="L7" s="2">
        <v>0</v>
      </c>
      <c r="M7" s="2">
        <v>0</v>
      </c>
      <c r="N7" s="1" t="s">
        <v>17</v>
      </c>
    </row>
    <row r="8" spans="1:14" s="1" customFormat="1" ht="61.5" customHeight="1" x14ac:dyDescent="0.25">
      <c r="J8" s="2"/>
      <c r="K8" s="2"/>
      <c r="L8" s="2"/>
      <c r="M8" s="2"/>
    </row>
    <row r="9" spans="1:14" s="1" customFormat="1" ht="61.5" customHeight="1" x14ac:dyDescent="0.25">
      <c r="J9" s="2"/>
      <c r="K9" s="2"/>
      <c r="L9" s="2"/>
      <c r="M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Dirge</vt:lpstr>
      <vt:lpstr>Warsinger</vt:lpstr>
      <vt:lpstr>Striker</vt:lpstr>
      <vt:lpstr>Exsanguinate</vt:lpstr>
      <vt:lpstr>Elementalist</vt:lpstr>
      <vt:lpstr>Arcanist</vt:lpstr>
      <vt:lpstr>Mender</vt:lpstr>
      <vt:lpstr>Siphon</vt:lpstr>
      <vt:lpstr>Vanguard</vt:lpstr>
      <vt:lpstr>Bulwark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Nunes</dc:creator>
  <cp:lastModifiedBy>Jacob Nunes</cp:lastModifiedBy>
  <dcterms:created xsi:type="dcterms:W3CDTF">2026-05-06T21:00:48Z</dcterms:created>
  <dcterms:modified xsi:type="dcterms:W3CDTF">2026-05-07T18:01:09Z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2026-05-06T21:15:03Z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a69bf012-3ec1-4984-a40a-1d18d06aea50</vt:lpwstr>
  </property>
  <property fmtid="{D5CDD505-2E9C-101B-9397-08002B2CF9AE}" pid="7" name="MSIP_Label_defa4170-0d19-0005-0000-bc88714345d2_ActionId">
    <vt:lpwstr>babf9e55-6e30-4659-9ae7-4b260f8f106b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