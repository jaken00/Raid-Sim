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aid-Sim\"/>
    </mc:Choice>
  </mc:AlternateContent>
  <xr:revisionPtr revIDLastSave="0" documentId="13_ncr:1_{08776BEC-B222-4565-898C-C4174BE16138}" xr6:coauthVersionLast="47" xr6:coauthVersionMax="47" xr10:uidLastSave="{00000000-0000-0000-0000-000000000000}"/>
  <bookViews>
    <workbookView xWindow="-120" yWindow="-120" windowWidth="29040" windowHeight="15720" activeTab="6" xr2:uid="{3B4A7B90-3552-4AC8-BFE1-7F14EFE6DB3D}"/>
  </bookViews>
  <sheets>
    <sheet name="Dirge" sheetId="11" r:id="rId1"/>
    <sheet name="Warsinger" sheetId="10" r:id="rId2"/>
    <sheet name="Striker" sheetId="9" r:id="rId3"/>
    <sheet name="Exsanguinate" sheetId="8" r:id="rId4"/>
    <sheet name="Elementalist" sheetId="7" r:id="rId5"/>
    <sheet name="Arcanist" sheetId="6" r:id="rId6"/>
    <sheet name="Mender" sheetId="4" r:id="rId7"/>
    <sheet name="Siphon" sheetId="5" r:id="rId8"/>
    <sheet name="Vanguard" sheetId="2" r:id="rId9"/>
    <sheet name="Bulwark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4" i="5"/>
  <c r="C2" i="5"/>
</calcChain>
</file>

<file path=xl/sharedStrings.xml><?xml version="1.0" encoding="utf-8"?>
<sst xmlns="http://schemas.openxmlformats.org/spreadsheetml/2006/main" count="239" uniqueCount="46">
  <si>
    <t>Name</t>
  </si>
  <si>
    <t>Base Damage</t>
  </si>
  <si>
    <t>Base Healing</t>
  </si>
  <si>
    <t>Type</t>
  </si>
  <si>
    <t>Damage Type</t>
  </si>
  <si>
    <t>Is AOE</t>
  </si>
  <si>
    <t>Buff Duration</t>
  </si>
  <si>
    <t>Crit Bonus</t>
  </si>
  <si>
    <t>Damage Multi</t>
  </si>
  <si>
    <t>Haste Bonus</t>
  </si>
  <si>
    <t>DR Bonus</t>
  </si>
  <si>
    <t>Buff Scope</t>
  </si>
  <si>
    <t>Cast Time</t>
  </si>
  <si>
    <t>Bash</t>
  </si>
  <si>
    <t>DAMAGE</t>
  </si>
  <si>
    <t>PHYSICAL</t>
  </si>
  <si>
    <t>F</t>
  </si>
  <si>
    <t>NULL</t>
  </si>
  <si>
    <t>Charge</t>
  </si>
  <si>
    <t>RAID_WIDE</t>
  </si>
  <si>
    <t>Guard</t>
  </si>
  <si>
    <t>BUFF</t>
  </si>
  <si>
    <t>SELF</t>
  </si>
  <si>
    <t>Fortify</t>
  </si>
  <si>
    <t>TARGET</t>
  </si>
  <si>
    <t>Rage</t>
  </si>
  <si>
    <t>Focus</t>
  </si>
  <si>
    <t>HEAL</t>
  </si>
  <si>
    <t>RADIANT</t>
  </si>
  <si>
    <t>Lead the Way</t>
  </si>
  <si>
    <t>Calculated Blow</t>
  </si>
  <si>
    <t>Rise of the Fight</t>
  </si>
  <si>
    <t>Cooldown</t>
  </si>
  <si>
    <t>Warscream</t>
  </si>
  <si>
    <t>Bloodletting</t>
  </si>
  <si>
    <t>Life Transfer</t>
  </si>
  <si>
    <t>Shadow</t>
  </si>
  <si>
    <t>Blood Frenzy</t>
  </si>
  <si>
    <t>Drain the Weak</t>
  </si>
  <si>
    <t>Martyr’s Exchange</t>
  </si>
  <si>
    <t>Borrowed Grace</t>
  </si>
  <si>
    <t>The Red Prayer</t>
  </si>
  <si>
    <t>Radiant Embrace</t>
  </si>
  <si>
    <t>Wave of Renewal</t>
  </si>
  <si>
    <t>T</t>
  </si>
  <si>
    <t>Soothing 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</si>
</sst>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/>
    <xf numFmtId="0" fontId="0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7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988207-F605-4F25-8B03-764A1A8043CE}" name="Table24589101112" displayName="Table24589101112" ref="A1:M9" totalsRowShown="0" headerRowDxfId="69">
  <autoFilter ref="A1:M9" xr:uid="{5E4E0DB9-7341-42D8-A749-33796E02C597}"/>
  <tableColumns count="13">
    <tableColumn id="1" xr3:uid="{78673462-093D-4F94-88AD-8DAB3810AE5B}" name="Name"/>
    <tableColumn id="2" xr3:uid="{485CC92F-93BC-4E63-8D3E-5F4BBC070006}" name="Base Damage"/>
    <tableColumn id="3" xr3:uid="{EF77D387-6464-42CA-9E0B-FAA08E955C98}" name="Base Healing"/>
    <tableColumn id="4" xr3:uid="{55E0C7A7-5064-41D2-BF7E-44EB4A01541C}" name="Cast Time"/>
    <tableColumn id="5" xr3:uid="{68485939-D29C-46C3-A1B6-A5DB15C9A490}" name="Type"/>
    <tableColumn id="6" xr3:uid="{0305A2DA-0C82-45D8-AAFE-D3FC4943F595}" name="Damage Type"/>
    <tableColumn id="7" xr3:uid="{50D9449A-1B14-45E4-A3F3-E62CAE062912}" name="Is AOE"/>
    <tableColumn id="8" xr3:uid="{3C356D6E-3CCB-4817-85A1-57B88D5EBDB8}" name="Buff Duration"/>
    <tableColumn id="9" xr3:uid="{AACDEC37-CE56-4462-9B09-D14CD138B2E2}" name="Crit Bonus"/>
    <tableColumn id="10" xr3:uid="{FE07C53C-ECF8-48A6-8009-53F7945FF18F}" name="Damage Multi"/>
    <tableColumn id="11" xr3:uid="{D4433512-FF73-41FA-B197-461152C3DFD9}" name="Haste Bonus"/>
    <tableColumn id="12" xr3:uid="{C7DD2FC3-B515-4660-AAEB-2DF258AF6451}" name="DR Bonus"/>
    <tableColumn id="13" xr3:uid="{CD213C2C-A073-4D09-971D-E8353A9D2B4B}" name="Buff Scop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8A20DEB-18D5-4D91-96E9-6F8206F6CB13}" name="Table245891011" displayName="Table245891011" ref="A1:M9" totalsRowShown="0" headerRowDxfId="68">
  <autoFilter ref="A1:M9" xr:uid="{5E4E0DB9-7341-42D8-A749-33796E02C597}"/>
  <tableColumns count="13">
    <tableColumn id="1" xr3:uid="{394B47C6-AC0E-45E1-819F-AE2E59D96160}" name="Name"/>
    <tableColumn id="2" xr3:uid="{02104ECE-86F9-4377-BD71-1F5AD871ADAE}" name="Base Damage"/>
    <tableColumn id="3" xr3:uid="{3133D958-BB94-4FD4-B78C-F6695E21D7BD}" name="Base Healing"/>
    <tableColumn id="4" xr3:uid="{E346B8F0-FACE-4E5E-B0BD-DE07E66647F2}" name="Cast Time"/>
    <tableColumn id="5" xr3:uid="{868FF242-AB92-4D01-9CB2-1199F88B3121}" name="Type"/>
    <tableColumn id="6" xr3:uid="{41557339-F950-4D80-931F-5622A821527A}" name="Damage Type"/>
    <tableColumn id="7" xr3:uid="{D1B83D6C-8923-4AF7-9A79-5317DBE21EDE}" name="Is AOE"/>
    <tableColumn id="8" xr3:uid="{14D6FB89-6CF7-43A3-9A49-9EB28D56CF63}" name="Buff Duration"/>
    <tableColumn id="9" xr3:uid="{70205E51-4EB6-4F00-85A5-2BDB03FF271A}" name="Crit Bonus"/>
    <tableColumn id="10" xr3:uid="{4EFF2B18-8CCA-4312-9171-0261C6DCA937}" name="Damage Multi"/>
    <tableColumn id="11" xr3:uid="{6A41A8F6-580A-409A-A5B6-93658E933FA4}" name="Haste Bonus"/>
    <tableColumn id="12" xr3:uid="{1B69971F-EA14-4BA8-AE6B-8AD7CC095B28}" name="DR Bonus"/>
    <tableColumn id="13" xr3:uid="{9EE4A5E3-8DE7-4ABB-A940-5BEF3CD376B5}" name="Buff Scop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4CA652-FAAF-430A-A186-A9FDD2C81785}" name="Table2458910" displayName="Table2458910" ref="A1:M9" totalsRowShown="0" headerRowDxfId="67">
  <autoFilter ref="A1:M9" xr:uid="{5E4E0DB9-7341-42D8-A749-33796E02C597}"/>
  <tableColumns count="13">
    <tableColumn id="1" xr3:uid="{29F72838-2602-4050-967E-702A18E600BD}" name="Name"/>
    <tableColumn id="2" xr3:uid="{2EFA4790-90BE-47A2-A13D-71D9B7971BA3}" name="Base Damage"/>
    <tableColumn id="3" xr3:uid="{13A8720A-BDBB-4DC8-BF30-F9E173ABBA7B}" name="Base Healing"/>
    <tableColumn id="4" xr3:uid="{B13C911D-5459-498A-930B-151BB805B2F3}" name="Cast Time"/>
    <tableColumn id="5" xr3:uid="{99181B04-3B2F-4127-9AF6-CF1EB51DC76A}" name="Type"/>
    <tableColumn id="6" xr3:uid="{F40D7880-AE8A-455E-AB78-49044FA14DBF}" name="Damage Type"/>
    <tableColumn id="7" xr3:uid="{0F130F0D-067F-410E-A4AD-C5BDD35149CE}" name="Is AOE"/>
    <tableColumn id="8" xr3:uid="{9064074E-5873-4074-B371-34F6EC187D81}" name="Buff Duration"/>
    <tableColumn id="9" xr3:uid="{4B75D38C-7287-4BEA-A798-A81F3B6BF9D2}" name="Crit Bonus"/>
    <tableColumn id="10" xr3:uid="{B8E15025-F963-4511-896E-3F7A19BE1398}" name="Damage Multi"/>
    <tableColumn id="11" xr3:uid="{506FC989-5C8F-40B7-9B27-6D4C0F2AA903}" name="Haste Bonus"/>
    <tableColumn id="12" xr3:uid="{F7763F18-F9DD-4197-BED0-6FD7F558104F}" name="DR Bonus"/>
    <tableColumn id="13" xr3:uid="{BF281D92-1EE4-46F2-9646-DDF68CA91C73}" name="Buff Scop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90791F-74C8-4AA8-8338-728DCDE770FC}" name="Table24589" displayName="Table24589" ref="A1:M9" totalsRowShown="0" headerRowDxfId="66">
  <autoFilter ref="A1:M9" xr:uid="{5E4E0DB9-7341-42D8-A749-33796E02C597}"/>
  <tableColumns count="13">
    <tableColumn id="1" xr3:uid="{2608ED49-C8D1-45B0-9B4E-C4A00D7FB34A}" name="Name"/>
    <tableColumn id="2" xr3:uid="{F31206E4-3303-4B61-A100-57E5C3B4AA26}" name="Base Damage"/>
    <tableColumn id="3" xr3:uid="{67C7ECAB-A46E-4898-9D00-2118FA2DCC2F}" name="Base Healing"/>
    <tableColumn id="4" xr3:uid="{8FF2A59D-6D5E-4672-94BF-61223BE6409C}" name="Cast Time"/>
    <tableColumn id="5" xr3:uid="{7B88F16A-A3F1-4760-AD17-52F82D7033EA}" name="Type"/>
    <tableColumn id="6" xr3:uid="{B49125DA-7B37-4C9D-8750-2CC0523E3636}" name="Damage Type"/>
    <tableColumn id="7" xr3:uid="{7965EEAB-14F1-4042-80ED-8AB69A6BC6AC}" name="Is AOE"/>
    <tableColumn id="8" xr3:uid="{1FC4A920-8EE9-4632-9518-C5F60DA2282A}" name="Buff Duration"/>
    <tableColumn id="9" xr3:uid="{2F43046A-8B08-489A-825C-5FBA9789D5D3}" name="Crit Bonus"/>
    <tableColumn id="10" xr3:uid="{4C6A3AFC-4FB7-4299-A97C-3E13D83C68EC}" name="Damage Multi"/>
    <tableColumn id="11" xr3:uid="{0F9AC12F-FC26-42F9-9309-EDE8F7C2E6AB}" name="Haste Bonus"/>
    <tableColumn id="12" xr3:uid="{0DB64FE0-760C-476E-A007-97BC2D8D7EE2}" name="DR Bonus"/>
    <tableColumn id="13" xr3:uid="{DB37C88B-5D95-4D63-B950-5130DAEF666E}" name="Buff Scop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D8069B-5AD9-44D5-A396-845DD6779ABE}" name="Table2458" displayName="Table2458" ref="A1:M9" totalsRowShown="0" headerRowDxfId="65">
  <autoFilter ref="A1:M9" xr:uid="{5E4E0DB9-7341-42D8-A749-33796E02C597}"/>
  <tableColumns count="13">
    <tableColumn id="1" xr3:uid="{8F167DEA-CE0F-414C-8920-6E45C879C298}" name="Name"/>
    <tableColumn id="2" xr3:uid="{D6B15DC1-898E-4F11-BE3D-C6867BBCA5F0}" name="Base Damage"/>
    <tableColumn id="3" xr3:uid="{E2167CAF-75C1-4335-BF5A-6EF37F95B3DC}" name="Base Healing"/>
    <tableColumn id="4" xr3:uid="{DB89483B-677F-483A-92E7-70D2F4DDA5A4}" name="Cast Time"/>
    <tableColumn id="5" xr3:uid="{E27EC401-BEBF-4814-BD71-A25C3C52496C}" name="Type"/>
    <tableColumn id="6" xr3:uid="{E2C987E6-8346-4436-9A9F-47A7D7B42D5D}" name="Damage Type"/>
    <tableColumn id="7" xr3:uid="{B1E162BF-DC08-4CD0-A4EF-10269F7CE391}" name="Is AOE"/>
    <tableColumn id="8" xr3:uid="{73FD9CA1-536C-4F6B-9F58-0E5384E4053A}" name="Buff Duration"/>
    <tableColumn id="9" xr3:uid="{8FBDA662-704B-4897-906A-FA47F6029860}" name="Crit Bonus"/>
    <tableColumn id="10" xr3:uid="{B072EA79-902B-4DA7-B3DA-D99E15C2F216}" name="Damage Multi"/>
    <tableColumn id="11" xr3:uid="{E7535B51-E70F-426D-AEEA-50A3E82F9CF9}" name="Haste Bonus"/>
    <tableColumn id="12" xr3:uid="{07FB51A1-3A66-4E50-967D-789FCD6FC932}" name="DR Bonus"/>
    <tableColumn id="13" xr3:uid="{7650A395-B958-4683-8272-5BFE2D3CD0E7}" name="Buff Scop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40096D-2D30-4936-B9D6-43FE860B0129}" name="Table27" displayName="Table27" ref="A1:M9" totalsRowShown="0" headerRowDxfId="64">
  <autoFilter ref="A1:M9" xr:uid="{5E4E0DB9-7341-42D8-A749-33796E02C597}"/>
  <tableColumns count="13">
    <tableColumn id="1" xr3:uid="{3BE96E1F-F420-4C24-B04F-7C9562B561B3}" name="Name"/>
    <tableColumn id="2" xr3:uid="{AC503C97-E399-4D0F-AD0E-2D357F5A0200}" name="Base Damage"/>
    <tableColumn id="3" xr3:uid="{BC328ADB-195B-446C-808B-23C7F11F2CE2}" name="Base Healing"/>
    <tableColumn id="4" xr3:uid="{E6CADA72-7F55-4B61-9F21-9BE3ADE8FFAA}" name="Cast Time"/>
    <tableColumn id="5" xr3:uid="{3CE73D10-0D75-462C-8EE1-1177D029A1DE}" name="Type"/>
    <tableColumn id="6" xr3:uid="{22A653B6-FC3E-472C-BCE4-055D7C5336C2}" name="Damage Type"/>
    <tableColumn id="7" xr3:uid="{C93FDF23-F708-42D9-97DC-A806E645AA9E}" name="Is AOE"/>
    <tableColumn id="8" xr3:uid="{7B39C86D-B03E-4551-87F0-493B6CBCF526}" name="Buff Duration"/>
    <tableColumn id="9" xr3:uid="{4DE66209-105E-4A56-9409-68AF89B77ABE}" name="Crit Bonus"/>
    <tableColumn id="10" xr3:uid="{A61454DE-A11F-4CE0-AF12-F33AD6686905}" name="Damage Multi"/>
    <tableColumn id="11" xr3:uid="{D97CDC73-9452-49E9-916F-559EA087282C}" name="Haste Bonus"/>
    <tableColumn id="12" xr3:uid="{5A2B71D0-8353-4080-B5E2-217B60707AB7}" name="DR Bonus"/>
    <tableColumn id="13" xr3:uid="{FD816828-6784-4235-9F4D-F189873238B9}" name="Buff Scop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68984-A2D3-4179-BEEA-913734731D5B}" name="Table245" displayName="Table245" ref="A1:N9" totalsRowShown="0" headerRowDxfId="1" dataDxfId="0">
  <autoFilter ref="A1:N9" xr:uid="{5E4E0DB9-7341-42D8-A749-33796E02C597}"/>
  <tableColumns count="14">
    <tableColumn id="1" xr3:uid="{80A74BD4-AF19-4EA1-AEBF-2D19A116D4C6}" name="Name" dataDxfId="15"/>
    <tableColumn id="2" xr3:uid="{ED8B7926-C44A-45BF-A35F-AD5EDDFB9304}" name="Base Damage" dataDxfId="14"/>
    <tableColumn id="3" xr3:uid="{3BD16615-5284-4C3F-B2E1-78F3303BAC1C}" name="Base Healing" dataDxfId="13"/>
    <tableColumn id="14" xr3:uid="{B83CA318-DE23-423F-B543-4CAB5EC8E4E3}" name="Cooldown" dataDxfId="12"/>
    <tableColumn id="4" xr3:uid="{A37492EA-6EE2-408C-9136-0B24EC0E57A0}" name="Cast Time" dataDxfId="11"/>
    <tableColumn id="5" xr3:uid="{92274DEA-2C1D-4A3F-84ED-CFD89B5CD485}" name="Type" dataDxfId="10"/>
    <tableColumn id="6" xr3:uid="{E6193D09-57E7-4005-A0BB-906150663DE4}" name="Damage Type" dataDxfId="9"/>
    <tableColumn id="7" xr3:uid="{EAA0F561-06A4-4AAE-8DCC-2611494E0FA5}" name="Is AOE" dataDxfId="8"/>
    <tableColumn id="8" xr3:uid="{1823B8E2-0C11-4056-8459-5C132E6482C5}" name="Buff Duration" dataDxfId="7"/>
    <tableColumn id="9" xr3:uid="{65BB2B6F-46DB-47A4-A8D7-02DE1AB77319}" name="Crit Bonus" dataDxfId="6" dataCellStyle="Percent"/>
    <tableColumn id="10" xr3:uid="{5F5E786E-840D-4699-A286-FE7A45CFE40E}" name="Damage Multi" dataDxfId="5" dataCellStyle="Percent"/>
    <tableColumn id="11" xr3:uid="{74D5ACFD-7750-4C9E-A384-4CE3E4921B3A}" name="Haste Bonus" dataDxfId="4" dataCellStyle="Percent"/>
    <tableColumn id="12" xr3:uid="{02795834-7DAD-4AE7-93B9-9398CAEE2284}" name="DR Bonus" dataDxfId="3" dataCellStyle="Percent"/>
    <tableColumn id="13" xr3:uid="{9764CE44-D1C5-4709-B43D-4649F8350CE8}" name="Buff Scope" dataDxfId="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840416-4488-4244-BA06-C33D3D6B3CA4}" name="Table26" displayName="Table26" ref="A1:N9" totalsRowShown="0" headerRowDxfId="21" dataDxfId="20">
  <autoFilter ref="A1:N9" xr:uid="{5E4E0DB9-7341-42D8-A749-33796E02C597}"/>
  <tableColumns count="14">
    <tableColumn id="1" xr3:uid="{3982B2B6-FFAE-47D7-8B85-610CA308F9D4}" name="Name" dataDxfId="31"/>
    <tableColumn id="2" xr3:uid="{C1A65A59-6C4A-48FE-A3C9-781AEF966910}" name="Base Damage" dataDxfId="30"/>
    <tableColumn id="3" xr3:uid="{32C272D4-9449-47A6-9A02-87D63AC63AB2}" name="Base Healing" dataDxfId="19">
      <calculatedColumnFormula>(B2*2)</calculatedColumnFormula>
    </tableColumn>
    <tableColumn id="14" xr3:uid="{6CD1E962-3AD8-4392-834B-BEDF4F9743EF}" name="Cooldown" dataDxfId="29"/>
    <tableColumn id="4" xr3:uid="{FAB9E67F-9C9A-43B6-A206-1FAC8631A7E0}" name="Cast Time" dataDxfId="28"/>
    <tableColumn id="5" xr3:uid="{2F7FB3BC-D2FB-44AF-B80B-57CBD47B0424}" name="Type" dataDxfId="27"/>
    <tableColumn id="6" xr3:uid="{C5BF7078-6347-41CD-BF34-D278AB21E866}" name="Damage Type" dataDxfId="26"/>
    <tableColumn id="7" xr3:uid="{85C73421-3580-4C35-B731-C3E3E66CB8D7}" name="Is AOE" dataDxfId="18"/>
    <tableColumn id="8" xr3:uid="{7AA76CBB-AF42-421B-AC1A-432D64F3517A}" name="Buff Duration" dataDxfId="16" dataCellStyle="Percent"/>
    <tableColumn id="9" xr3:uid="{AAE58A0C-AB11-40AE-BD61-DF6D80A6337A}" name="Crit Bonus" dataDxfId="17" dataCellStyle="Percent"/>
    <tableColumn id="10" xr3:uid="{BC1C6237-C92E-48FE-8FCA-D84E3427C7F6}" name="Damage Multi" dataDxfId="25" dataCellStyle="Percent"/>
    <tableColumn id="11" xr3:uid="{B187DBAD-695E-4817-8EDE-7EC285BC0C04}" name="Haste Bonus" dataDxfId="24" dataCellStyle="Percent"/>
    <tableColumn id="12" xr3:uid="{CF41BC70-8468-4138-A5EA-B6255D9A2023}" name="DR Bonus" dataDxfId="23" dataCellStyle="Percent"/>
    <tableColumn id="13" xr3:uid="{845DC440-14E4-4262-92DA-0527087D2315}" name="Buff Scope" dataDxfId="22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3E55BA-F889-4AFF-84A0-8A42CA057BD6}" name="Table24" displayName="Table24" ref="A1:N9" totalsRowShown="0" headerRowDxfId="63" dataDxfId="35">
  <autoFilter ref="A1:N9" xr:uid="{5E4E0DB9-7341-42D8-A749-33796E02C597}"/>
  <tableColumns count="14">
    <tableColumn id="1" xr3:uid="{C11F8F41-C8EA-4F3A-A933-BB3C67530F90}" name="Name" dataDxfId="47"/>
    <tableColumn id="2" xr3:uid="{65662BAF-A29D-43E4-9F03-4B554CB17C79}" name="Base Damage" dataDxfId="46"/>
    <tableColumn id="3" xr3:uid="{32263714-F084-4CB3-9C5D-D38351C21C1D}" name="Base Healing" dataDxfId="45"/>
    <tableColumn id="14" xr3:uid="{6CCBAEA0-B0D4-4F9A-AF12-F4630BF5641E}" name="Cooldown" dataDxfId="32"/>
    <tableColumn id="4" xr3:uid="{9FFE014E-9471-4AA1-9C1C-811FD8FF8AD0}" name="Cast Time" dataDxfId="33"/>
    <tableColumn id="5" xr3:uid="{D7C291A6-DEDA-473B-B28E-D8C581D275D1}" name="Type" dataDxfId="44"/>
    <tableColumn id="6" xr3:uid="{ED0A3D0F-7C6B-404E-AC35-43645D59ECC6}" name="Damage Type" dataDxfId="43"/>
    <tableColumn id="7" xr3:uid="{6ABEB710-BF1D-4439-93E6-00603B424A38}" name="Is AOE" dataDxfId="42"/>
    <tableColumn id="8" xr3:uid="{67E5354E-8154-410E-B391-1AAB728CF765}" name="Buff Duration" dataDxfId="41"/>
    <tableColumn id="9" xr3:uid="{29F5084F-BC46-49D2-B1AC-DA4CCAD8CFAA}" name="Crit Bonus" dataDxfId="40" dataCellStyle="Percent"/>
    <tableColumn id="10" xr3:uid="{D7E90EF4-6407-49B8-8A32-5BF4F0EEB272}" name="Damage Multi" dataDxfId="39" dataCellStyle="Percent"/>
    <tableColumn id="11" xr3:uid="{2032BE54-582F-417B-AA15-684176C516AF}" name="Haste Bonus" dataDxfId="38" dataCellStyle="Percent"/>
    <tableColumn id="12" xr3:uid="{4DC4ABB5-1A0C-45D9-8D91-A9DDD80DC0B8}" name="DR Bonus" dataDxfId="37" dataCellStyle="Percent"/>
    <tableColumn id="13" xr3:uid="{EE1EDF7B-463B-41D4-9AC4-582552832CA1}" name="Buff Scope" dataDxfId="36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4E0DB9-7341-42D8-A749-33796E02C597}" name="Table2" displayName="Table2" ref="A1:N9" totalsRowShown="0" headerRowDxfId="62" dataDxfId="48">
  <autoFilter ref="A1:N9" xr:uid="{5E4E0DB9-7341-42D8-A749-33796E02C597}"/>
  <tableColumns count="14">
    <tableColumn id="1" xr3:uid="{65BADFF2-A3F9-45A7-B570-ED94D3187C6C}" name="Name" dataDxfId="61"/>
    <tableColumn id="2" xr3:uid="{A97025EC-DAE3-41A2-B104-1E1652BE76E0}" name="Base Damage" dataDxfId="60"/>
    <tableColumn id="3" xr3:uid="{56E9E1E0-3CF6-4114-AC7C-14196B663123}" name="Base Healing" dataDxfId="59"/>
    <tableColumn id="14" xr3:uid="{F10DA189-7609-4366-9644-EF36D398AF9E}" name="Cooldown" dataDxfId="34"/>
    <tableColumn id="4" xr3:uid="{F800FB59-F87D-4C43-8C62-BDC1A8668EE2}" name="Cast Time" dataDxfId="58"/>
    <tableColumn id="5" xr3:uid="{301901CD-9BEE-43E6-8704-9B68B0534D68}" name="Type" dataDxfId="57"/>
    <tableColumn id="6" xr3:uid="{1989C680-747F-4FB1-8F36-34BF0B1FA782}" name="Damage Type" dataDxfId="56"/>
    <tableColumn id="7" xr3:uid="{12B919CC-10AF-4355-BF36-6EDA9B424A0A}" name="Is AOE" dataDxfId="55"/>
    <tableColumn id="8" xr3:uid="{CE7CC656-4C27-489E-9D91-0C684454D0E1}" name="Buff Duration" dataDxfId="54"/>
    <tableColumn id="9" xr3:uid="{E8BC74E2-56EC-49F9-AE45-45D45D040054}" name="Crit Bonus" dataDxfId="53" dataCellStyle="Percent"/>
    <tableColumn id="10" xr3:uid="{E68FFFAD-5294-4FE0-ADFE-C0114CD02111}" name="Damage Multi" dataDxfId="52" dataCellStyle="Percent"/>
    <tableColumn id="11" xr3:uid="{2EB2655A-3DEE-4B04-A235-5FAA0F4435C4}" name="Haste Bonus" dataDxfId="51" dataCellStyle="Percent"/>
    <tableColumn id="12" xr3:uid="{CB22D003-ACF8-42F8-9189-6BA71C7E7A77}" name="DR Bonus" dataDxfId="50" dataCellStyle="Percent"/>
    <tableColumn id="13" xr3:uid="{CD7F3417-4177-4F15-BD8E-2AB03DD42372}" name="Buff Scope" dataDxfId="4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F11B-96A2-4EA0-BB2E-7E5BD714A790}">
  <dimension ref="A1:M9"/>
  <sheetViews>
    <sheetView workbookViewId="0">
      <selection activeCell="C8" sqref="C8"/>
    </sheetView>
  </sheetViews>
  <sheetFormatPr defaultColWidth="20.28515625" defaultRowHeight="15" x14ac:dyDescent="0.25"/>
  <sheetData>
    <row r="1" spans="1:13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1.5" customHeight="1" x14ac:dyDescent="0.25"/>
    <row r="3" spans="1:13" ht="61.5" customHeight="1" x14ac:dyDescent="0.25"/>
    <row r="4" spans="1:13" ht="61.5" customHeight="1" x14ac:dyDescent="0.25"/>
    <row r="5" spans="1:13" ht="61.5" customHeight="1" x14ac:dyDescent="0.25"/>
    <row r="6" spans="1:13" ht="61.5" customHeight="1" x14ac:dyDescent="0.25"/>
    <row r="7" spans="1:13" ht="61.5" customHeight="1" x14ac:dyDescent="0.25"/>
    <row r="8" spans="1:13" ht="61.5" customHeight="1" x14ac:dyDescent="0.25"/>
    <row r="9" spans="1:13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8E72-5ACC-4281-9D09-5D9A451CFE3E}">
  <dimension ref="A1:M9"/>
  <sheetViews>
    <sheetView workbookViewId="0">
      <selection activeCell="D8" sqref="D8"/>
    </sheetView>
  </sheetViews>
  <sheetFormatPr defaultColWidth="20.28515625" defaultRowHeight="15" x14ac:dyDescent="0.25"/>
  <sheetData>
    <row r="1" spans="1:13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1.5" customHeight="1" x14ac:dyDescent="0.25"/>
    <row r="3" spans="1:13" ht="61.5" customHeight="1" x14ac:dyDescent="0.25"/>
    <row r="4" spans="1:13" ht="61.5" customHeight="1" x14ac:dyDescent="0.25"/>
    <row r="5" spans="1:13" ht="61.5" customHeight="1" x14ac:dyDescent="0.25"/>
    <row r="6" spans="1:13" ht="61.5" customHeight="1" x14ac:dyDescent="0.25"/>
    <row r="7" spans="1:13" ht="61.5" customHeight="1" x14ac:dyDescent="0.25"/>
    <row r="8" spans="1:13" ht="61.5" customHeight="1" x14ac:dyDescent="0.25"/>
    <row r="9" spans="1:13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F936-D93E-4CEB-816F-CD937EAFC239}">
  <dimension ref="A1:M9"/>
  <sheetViews>
    <sheetView workbookViewId="0">
      <selection activeCell="F8" sqref="F8"/>
    </sheetView>
  </sheetViews>
  <sheetFormatPr defaultColWidth="20.28515625" defaultRowHeight="15" x14ac:dyDescent="0.25"/>
  <sheetData>
    <row r="1" spans="1:13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1.5" customHeight="1" x14ac:dyDescent="0.25"/>
    <row r="3" spans="1:13" ht="61.5" customHeight="1" x14ac:dyDescent="0.25"/>
    <row r="4" spans="1:13" ht="61.5" customHeight="1" x14ac:dyDescent="0.25"/>
    <row r="5" spans="1:13" ht="61.5" customHeight="1" x14ac:dyDescent="0.25"/>
    <row r="6" spans="1:13" ht="61.5" customHeight="1" x14ac:dyDescent="0.25"/>
    <row r="7" spans="1:13" ht="61.5" customHeight="1" x14ac:dyDescent="0.25"/>
    <row r="8" spans="1:13" ht="61.5" customHeight="1" x14ac:dyDescent="0.25"/>
    <row r="9" spans="1:13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74E2-287A-456A-A826-187CEB6F13F3}">
  <dimension ref="A1:M9"/>
  <sheetViews>
    <sheetView workbookViewId="0">
      <selection activeCell="A2" sqref="A2"/>
    </sheetView>
  </sheetViews>
  <sheetFormatPr defaultColWidth="20.28515625" defaultRowHeight="15" x14ac:dyDescent="0.25"/>
  <sheetData>
    <row r="1" spans="1:13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1.5" customHeight="1" x14ac:dyDescent="0.25"/>
    <row r="3" spans="1:13" ht="61.5" customHeight="1" x14ac:dyDescent="0.25"/>
    <row r="4" spans="1:13" ht="61.5" customHeight="1" x14ac:dyDescent="0.25"/>
    <row r="5" spans="1:13" ht="61.5" customHeight="1" x14ac:dyDescent="0.25"/>
    <row r="6" spans="1:13" ht="61.5" customHeight="1" x14ac:dyDescent="0.25"/>
    <row r="7" spans="1:13" ht="61.5" customHeight="1" x14ac:dyDescent="0.25"/>
    <row r="8" spans="1:13" ht="61.5" customHeight="1" x14ac:dyDescent="0.25"/>
    <row r="9" spans="1:13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8CE3-97F9-4329-B98E-6313631A3BF1}">
  <dimension ref="A1:M9"/>
  <sheetViews>
    <sheetView workbookViewId="0">
      <selection activeCell="A2" sqref="A2"/>
    </sheetView>
  </sheetViews>
  <sheetFormatPr defaultColWidth="20.28515625" defaultRowHeight="15" x14ac:dyDescent="0.25"/>
  <sheetData>
    <row r="1" spans="1:13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1.5" customHeight="1" x14ac:dyDescent="0.25"/>
    <row r="3" spans="1:13" ht="61.5" customHeight="1" x14ac:dyDescent="0.25"/>
    <row r="4" spans="1:13" ht="61.5" customHeight="1" x14ac:dyDescent="0.25"/>
    <row r="5" spans="1:13" ht="61.5" customHeight="1" x14ac:dyDescent="0.25"/>
    <row r="6" spans="1:13" ht="61.5" customHeight="1" x14ac:dyDescent="0.25"/>
    <row r="7" spans="1:13" ht="61.5" customHeight="1" x14ac:dyDescent="0.25"/>
    <row r="8" spans="1:13" ht="61.5" customHeight="1" x14ac:dyDescent="0.25"/>
    <row r="9" spans="1:13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EED2-AC32-4DC4-9F2B-B63F9F76A652}">
  <dimension ref="A1:M9"/>
  <sheetViews>
    <sheetView workbookViewId="0">
      <selection activeCell="A2" sqref="A2"/>
    </sheetView>
  </sheetViews>
  <sheetFormatPr defaultColWidth="20.28515625" defaultRowHeight="15" x14ac:dyDescent="0.25"/>
  <sheetData>
    <row r="1" spans="1:13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1.5" customHeight="1" x14ac:dyDescent="0.25"/>
    <row r="3" spans="1:13" ht="61.5" customHeight="1" x14ac:dyDescent="0.25"/>
    <row r="4" spans="1:13" ht="61.5" customHeight="1" x14ac:dyDescent="0.25"/>
    <row r="5" spans="1:13" ht="61.5" customHeight="1" x14ac:dyDescent="0.25"/>
    <row r="6" spans="1:13" ht="61.5" customHeight="1" x14ac:dyDescent="0.25"/>
    <row r="7" spans="1:13" ht="61.5" customHeight="1" x14ac:dyDescent="0.25"/>
    <row r="8" spans="1:13" ht="61.5" customHeight="1" x14ac:dyDescent="0.25"/>
    <row r="9" spans="1:13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34C6-87AD-4DA6-ADC0-8E6801159327}">
  <dimension ref="A1:N9"/>
  <sheetViews>
    <sheetView tabSelected="1" workbookViewId="0">
      <selection activeCell="K5" sqref="K5"/>
    </sheetView>
  </sheetViews>
  <sheetFormatPr defaultColWidth="18.5703125" defaultRowHeight="15" x14ac:dyDescent="0.25"/>
  <cols>
    <col min="1" max="16384" width="18.5703125" style="1"/>
  </cols>
  <sheetData>
    <row r="1" spans="1:14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42</v>
      </c>
      <c r="B2" s="1">
        <v>0</v>
      </c>
      <c r="C2" s="1">
        <v>150</v>
      </c>
      <c r="D2" s="1">
        <v>3</v>
      </c>
      <c r="E2" s="1">
        <v>3</v>
      </c>
      <c r="F2" s="1" t="s">
        <v>27</v>
      </c>
      <c r="G2" s="1" t="s">
        <v>28</v>
      </c>
      <c r="H2" s="1" t="s">
        <v>16</v>
      </c>
      <c r="I2" s="1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ht="61.5" customHeight="1" x14ac:dyDescent="0.25">
      <c r="A3" s="1" t="s">
        <v>43</v>
      </c>
      <c r="B3" s="1">
        <v>0</v>
      </c>
      <c r="C3" s="1">
        <v>125</v>
      </c>
      <c r="D3" s="1">
        <v>10</v>
      </c>
      <c r="E3" s="1">
        <v>2.8</v>
      </c>
      <c r="F3" s="1" t="s">
        <v>27</v>
      </c>
      <c r="G3" s="1" t="s">
        <v>28</v>
      </c>
      <c r="H3" s="1" t="s">
        <v>44</v>
      </c>
      <c r="I3" s="1">
        <v>0</v>
      </c>
      <c r="J3" s="2">
        <v>0</v>
      </c>
      <c r="K3" s="2">
        <v>0</v>
      </c>
      <c r="L3" s="2">
        <v>0</v>
      </c>
      <c r="M3" s="2">
        <v>0</v>
      </c>
      <c r="N3" s="1" t="s">
        <v>17</v>
      </c>
    </row>
    <row r="4" spans="1:14" ht="61.5" customHeight="1" x14ac:dyDescent="0.25">
      <c r="A4" s="1" t="s">
        <v>45</v>
      </c>
      <c r="B4" s="1">
        <v>0</v>
      </c>
      <c r="C4" s="1">
        <v>30</v>
      </c>
      <c r="D4" s="1">
        <v>25</v>
      </c>
      <c r="E4" s="1">
        <v>2</v>
      </c>
      <c r="F4" s="1" t="s">
        <v>27</v>
      </c>
      <c r="G4" s="1" t="s">
        <v>28</v>
      </c>
      <c r="H4" s="1" t="s">
        <v>16</v>
      </c>
      <c r="I4" s="1">
        <v>15</v>
      </c>
      <c r="J4" s="2">
        <v>0</v>
      </c>
      <c r="K4" s="2">
        <v>0</v>
      </c>
      <c r="L4" s="2">
        <v>0</v>
      </c>
      <c r="M4" s="2">
        <v>0.15</v>
      </c>
      <c r="N4" s="1" t="s">
        <v>24</v>
      </c>
    </row>
    <row r="5" spans="1:14" ht="61.5" customHeight="1" x14ac:dyDescent="0.25">
      <c r="J5" s="2"/>
      <c r="K5" s="2"/>
      <c r="L5" s="2"/>
      <c r="M5" s="2"/>
    </row>
    <row r="6" spans="1:14" ht="61.5" customHeight="1" x14ac:dyDescent="0.25">
      <c r="J6" s="2"/>
      <c r="K6" s="2"/>
      <c r="L6" s="2"/>
      <c r="M6" s="2"/>
    </row>
    <row r="7" spans="1:14" ht="61.5" customHeight="1" x14ac:dyDescent="0.25">
      <c r="J7" s="2"/>
      <c r="K7" s="2"/>
      <c r="L7" s="2"/>
      <c r="M7" s="2"/>
    </row>
    <row r="8" spans="1:14" ht="61.5" customHeight="1" x14ac:dyDescent="0.25">
      <c r="J8" s="2"/>
      <c r="K8" s="2"/>
      <c r="L8" s="2"/>
      <c r="M8" s="2"/>
    </row>
    <row r="9" spans="1:14" ht="61.5" customHeight="1" x14ac:dyDescent="0.25">
      <c r="J9" s="2"/>
      <c r="K9" s="2"/>
      <c r="L9" s="2"/>
      <c r="M9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75D6-06DA-4B1D-BCAE-CDA948622BC1}">
  <dimension ref="A1:N9"/>
  <sheetViews>
    <sheetView workbookViewId="0">
      <selection activeCell="G8" sqref="G8"/>
    </sheetView>
  </sheetViews>
  <sheetFormatPr defaultColWidth="18.5703125" defaultRowHeight="15" x14ac:dyDescent="0.25"/>
  <cols>
    <col min="1" max="8" width="18.5703125" style="1"/>
    <col min="9" max="9" width="18.5703125" style="5"/>
    <col min="10" max="16384" width="18.5703125" style="1"/>
  </cols>
  <sheetData>
    <row r="1" spans="1:14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5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35</v>
      </c>
      <c r="B2" s="1">
        <v>45</v>
      </c>
      <c r="C2" s="1">
        <f t="shared" ref="C2:C9" si="0">(B2*2)</f>
        <v>90</v>
      </c>
      <c r="D2" s="1">
        <v>0</v>
      </c>
      <c r="E2" s="1">
        <v>2.5</v>
      </c>
      <c r="F2" s="1" t="s">
        <v>27</v>
      </c>
      <c r="G2" s="1" t="s">
        <v>36</v>
      </c>
      <c r="H2" s="1" t="s">
        <v>16</v>
      </c>
      <c r="I2" s="4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ht="61.5" customHeight="1" x14ac:dyDescent="0.25">
      <c r="A3" s="1" t="s">
        <v>37</v>
      </c>
      <c r="B3" s="1">
        <v>0</v>
      </c>
      <c r="C3" s="1">
        <v>0</v>
      </c>
      <c r="D3" s="1">
        <v>30</v>
      </c>
      <c r="E3" s="1">
        <v>1</v>
      </c>
      <c r="F3" s="1" t="s">
        <v>21</v>
      </c>
      <c r="G3" s="1" t="s">
        <v>36</v>
      </c>
      <c r="H3" s="1" t="s">
        <v>16</v>
      </c>
      <c r="I3" s="4">
        <v>20</v>
      </c>
      <c r="J3" s="2">
        <v>0.1</v>
      </c>
      <c r="K3" s="2">
        <v>0</v>
      </c>
      <c r="L3" s="2">
        <v>0</v>
      </c>
      <c r="M3" s="2">
        <v>0</v>
      </c>
      <c r="N3" s="1" t="s">
        <v>22</v>
      </c>
    </row>
    <row r="4" spans="1:14" ht="61.5" customHeight="1" x14ac:dyDescent="0.25">
      <c r="A4" s="1" t="s">
        <v>38</v>
      </c>
      <c r="B4" s="1">
        <v>97</v>
      </c>
      <c r="C4" s="1">
        <f>SUM(Table26[[#This Row],[Base Damage]]*2)</f>
        <v>194</v>
      </c>
      <c r="D4" s="1">
        <v>10</v>
      </c>
      <c r="E4" s="1">
        <v>3</v>
      </c>
      <c r="F4" s="1" t="s">
        <v>27</v>
      </c>
      <c r="G4" s="1" t="s">
        <v>36</v>
      </c>
      <c r="H4" s="1" t="s">
        <v>16</v>
      </c>
      <c r="I4" s="4">
        <v>0</v>
      </c>
      <c r="J4" s="2">
        <v>0</v>
      </c>
      <c r="K4" s="2">
        <v>0</v>
      </c>
      <c r="L4" s="2">
        <v>0</v>
      </c>
      <c r="M4" s="2">
        <v>0</v>
      </c>
      <c r="N4" s="1" t="s">
        <v>17</v>
      </c>
    </row>
    <row r="5" spans="1:14" ht="61.5" customHeight="1" x14ac:dyDescent="0.25">
      <c r="A5" s="1" t="s">
        <v>39</v>
      </c>
      <c r="B5" s="1">
        <v>150</v>
      </c>
      <c r="C5" s="1">
        <f>SUM((Table26[[#This Row],[Base Damage]]/2)*-1)</f>
        <v>-75</v>
      </c>
      <c r="D5" s="1">
        <v>25</v>
      </c>
      <c r="E5" s="1">
        <v>3</v>
      </c>
      <c r="F5" s="1" t="s">
        <v>14</v>
      </c>
      <c r="G5" s="1" t="s">
        <v>36</v>
      </c>
      <c r="H5" s="1" t="s">
        <v>16</v>
      </c>
      <c r="I5" s="4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40</v>
      </c>
      <c r="B6" s="1">
        <v>0</v>
      </c>
      <c r="C6" s="1">
        <v>0</v>
      </c>
      <c r="D6" s="1">
        <v>45</v>
      </c>
      <c r="E6" s="1">
        <v>2.5</v>
      </c>
      <c r="F6" s="1" t="s">
        <v>21</v>
      </c>
      <c r="G6" s="1" t="s">
        <v>36</v>
      </c>
      <c r="H6" s="1" t="s">
        <v>16</v>
      </c>
      <c r="I6" s="4">
        <v>30</v>
      </c>
      <c r="J6" s="2">
        <v>0</v>
      </c>
      <c r="K6" s="2">
        <v>0.02</v>
      </c>
      <c r="L6" s="2">
        <v>0.05</v>
      </c>
      <c r="M6" s="2">
        <v>0.1</v>
      </c>
      <c r="N6" s="1" t="s">
        <v>24</v>
      </c>
    </row>
    <row r="7" spans="1:14" ht="61.5" customHeight="1" x14ac:dyDescent="0.25">
      <c r="A7" s="1" t="s">
        <v>41</v>
      </c>
      <c r="B7" s="1">
        <v>0</v>
      </c>
      <c r="C7" s="1">
        <v>300</v>
      </c>
      <c r="D7" s="1">
        <v>30</v>
      </c>
      <c r="E7" s="1">
        <v>3</v>
      </c>
      <c r="F7" s="1" t="s">
        <v>27</v>
      </c>
      <c r="G7" s="1" t="s">
        <v>36</v>
      </c>
      <c r="H7" s="1" t="s">
        <v>16</v>
      </c>
      <c r="I7" s="4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ht="61.5" customHeight="1" x14ac:dyDescent="0.25">
      <c r="I8" s="4"/>
      <c r="J8" s="2"/>
      <c r="K8" s="2"/>
      <c r="L8" s="2"/>
      <c r="M8" s="2"/>
    </row>
    <row r="9" spans="1:14" ht="61.5" customHeight="1" x14ac:dyDescent="0.25">
      <c r="I9" s="4"/>
      <c r="J9" s="2"/>
      <c r="K9" s="2"/>
      <c r="L9" s="2"/>
      <c r="M9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8855-B2A1-4F94-83F1-6C9CAAA99268}">
  <dimension ref="A1:N9"/>
  <sheetViews>
    <sheetView workbookViewId="0">
      <selection activeCell="G7" sqref="G7"/>
    </sheetView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29</v>
      </c>
      <c r="B2" s="1">
        <v>0</v>
      </c>
      <c r="C2" s="1">
        <v>0</v>
      </c>
      <c r="D2" s="1">
        <v>30</v>
      </c>
      <c r="E2" s="1">
        <v>3</v>
      </c>
      <c r="F2" s="1" t="s">
        <v>21</v>
      </c>
      <c r="G2" s="1" t="s">
        <v>15</v>
      </c>
      <c r="H2" s="1" t="s">
        <v>16</v>
      </c>
      <c r="I2" s="1">
        <v>10</v>
      </c>
      <c r="J2" s="2">
        <v>0.03</v>
      </c>
      <c r="K2" s="2">
        <v>0</v>
      </c>
      <c r="L2" s="2">
        <v>0</v>
      </c>
      <c r="M2" s="2">
        <v>0</v>
      </c>
      <c r="N2" s="1" t="s">
        <v>19</v>
      </c>
    </row>
    <row r="3" spans="1:14" ht="61.5" customHeight="1" x14ac:dyDescent="0.25">
      <c r="A3" s="1" t="s">
        <v>30</v>
      </c>
      <c r="B3" s="1">
        <v>97</v>
      </c>
      <c r="C3" s="1">
        <v>0</v>
      </c>
      <c r="D3" s="1">
        <v>0</v>
      </c>
      <c r="E3" s="1">
        <v>6</v>
      </c>
      <c r="F3" s="1" t="s">
        <v>14</v>
      </c>
      <c r="G3" s="1" t="s">
        <v>15</v>
      </c>
      <c r="H3" s="1" t="s">
        <v>16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17</v>
      </c>
    </row>
    <row r="4" spans="1:14" ht="61.5" customHeight="1" x14ac:dyDescent="0.25">
      <c r="A4" s="1" t="s">
        <v>31</v>
      </c>
      <c r="B4" s="1">
        <v>0</v>
      </c>
      <c r="C4" s="1">
        <v>0</v>
      </c>
      <c r="D4" s="1">
        <v>25</v>
      </c>
      <c r="E4" s="1">
        <v>2</v>
      </c>
      <c r="F4" s="1" t="s">
        <v>21</v>
      </c>
      <c r="G4" s="1" t="s">
        <v>15</v>
      </c>
      <c r="H4" s="1" t="s">
        <v>16</v>
      </c>
      <c r="I4" s="1">
        <v>10</v>
      </c>
      <c r="J4" s="2">
        <v>0</v>
      </c>
      <c r="K4" s="2">
        <v>0.02</v>
      </c>
      <c r="L4" s="2">
        <v>0.01</v>
      </c>
      <c r="M4" s="2">
        <v>0</v>
      </c>
      <c r="N4" s="1" t="s">
        <v>19</v>
      </c>
    </row>
    <row r="5" spans="1:14" ht="61.5" customHeight="1" x14ac:dyDescent="0.25">
      <c r="A5" s="1" t="s">
        <v>33</v>
      </c>
      <c r="B5" s="1">
        <v>30</v>
      </c>
      <c r="C5" s="1">
        <v>0</v>
      </c>
      <c r="D5" s="1">
        <v>10</v>
      </c>
      <c r="E5" s="1">
        <v>1</v>
      </c>
      <c r="F5" s="1" t="s">
        <v>14</v>
      </c>
      <c r="G5" s="1" t="s">
        <v>15</v>
      </c>
      <c r="H5" s="1" t="s">
        <v>16</v>
      </c>
      <c r="I5" s="1">
        <v>15</v>
      </c>
      <c r="J5" s="2">
        <v>0</v>
      </c>
      <c r="K5" s="2">
        <v>0</v>
      </c>
      <c r="L5" s="2">
        <v>0</v>
      </c>
      <c r="M5" s="2">
        <v>0.06</v>
      </c>
      <c r="N5" s="1" t="s">
        <v>22</v>
      </c>
    </row>
    <row r="6" spans="1:14" ht="61.5" customHeight="1" x14ac:dyDescent="0.25">
      <c r="A6" s="1" t="s">
        <v>18</v>
      </c>
      <c r="B6" s="1">
        <v>87</v>
      </c>
      <c r="C6" s="1">
        <v>0</v>
      </c>
      <c r="D6" s="1">
        <v>0</v>
      </c>
      <c r="E6" s="1">
        <v>3</v>
      </c>
      <c r="F6" s="1" t="s">
        <v>14</v>
      </c>
      <c r="G6" s="1" t="s">
        <v>15</v>
      </c>
      <c r="H6" s="1" t="s">
        <v>16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 t="s">
        <v>17</v>
      </c>
    </row>
    <row r="7" spans="1:14" ht="61.5" customHeight="1" x14ac:dyDescent="0.25">
      <c r="A7" s="1" t="s">
        <v>34</v>
      </c>
      <c r="B7" s="1">
        <v>76</v>
      </c>
      <c r="C7" s="1">
        <v>0</v>
      </c>
      <c r="D7" s="1">
        <v>0</v>
      </c>
      <c r="E7" s="1">
        <v>0</v>
      </c>
      <c r="F7" s="1" t="s">
        <v>14</v>
      </c>
      <c r="G7" s="1" t="s">
        <v>15</v>
      </c>
      <c r="H7" s="1" t="s">
        <v>16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 t="s">
        <v>17</v>
      </c>
    </row>
    <row r="8" spans="1:14" ht="61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1"/>
    </row>
    <row r="9" spans="1:14" ht="61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2"/>
      <c r="K9" s="2"/>
      <c r="L9" s="2"/>
      <c r="M9" s="2"/>
      <c r="N9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D114-7484-4594-B5A2-B1119DAE5F6D}">
  <dimension ref="A1:N9"/>
  <sheetViews>
    <sheetView workbookViewId="0">
      <selection activeCell="F9" sqref="F9"/>
    </sheetView>
  </sheetViews>
  <sheetFormatPr defaultColWidth="19" defaultRowHeight="15" x14ac:dyDescent="0.25"/>
  <cols>
    <col min="10" max="13" width="19" style="3"/>
  </cols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</row>
    <row r="2" spans="1:14" s="1" customFormat="1" ht="61.5" customHeight="1" x14ac:dyDescent="0.25">
      <c r="A2" s="1" t="s">
        <v>13</v>
      </c>
      <c r="B2" s="1">
        <v>55</v>
      </c>
      <c r="C2" s="1">
        <v>0</v>
      </c>
      <c r="D2" s="1">
        <v>0</v>
      </c>
      <c r="E2" s="1">
        <v>0</v>
      </c>
      <c r="F2" s="1" t="s">
        <v>14</v>
      </c>
      <c r="G2" s="1" t="s">
        <v>15</v>
      </c>
      <c r="H2" s="1" t="s">
        <v>16</v>
      </c>
      <c r="I2" s="1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s="1" customFormat="1" ht="61.5" customHeight="1" x14ac:dyDescent="0.25">
      <c r="A3" s="1" t="s">
        <v>18</v>
      </c>
      <c r="B3" s="1">
        <v>32</v>
      </c>
      <c r="C3" s="1">
        <v>0</v>
      </c>
      <c r="D3" s="1">
        <v>25</v>
      </c>
      <c r="E3" s="1">
        <v>0</v>
      </c>
      <c r="F3" s="1" t="s">
        <v>14</v>
      </c>
      <c r="G3" s="1" t="s">
        <v>15</v>
      </c>
      <c r="H3" s="1" t="s">
        <v>16</v>
      </c>
      <c r="I3" s="1">
        <v>10</v>
      </c>
      <c r="J3" s="2">
        <v>0</v>
      </c>
      <c r="K3" s="2">
        <v>0</v>
      </c>
      <c r="L3" s="2">
        <v>0.04</v>
      </c>
      <c r="M3" s="2">
        <v>0</v>
      </c>
      <c r="N3" s="1" t="s">
        <v>19</v>
      </c>
    </row>
    <row r="4" spans="1:14" s="1" customFormat="1" ht="61.5" customHeight="1" x14ac:dyDescent="0.25">
      <c r="A4" s="1" t="s">
        <v>20</v>
      </c>
      <c r="B4" s="1">
        <v>0</v>
      </c>
      <c r="C4" s="1">
        <v>0</v>
      </c>
      <c r="D4" s="1">
        <v>15</v>
      </c>
      <c r="E4" s="1">
        <v>0</v>
      </c>
      <c r="F4" s="1" t="s">
        <v>21</v>
      </c>
      <c r="G4" s="1" t="s">
        <v>15</v>
      </c>
      <c r="H4" s="1" t="s">
        <v>16</v>
      </c>
      <c r="I4" s="1">
        <v>6</v>
      </c>
      <c r="J4" s="2">
        <v>0</v>
      </c>
      <c r="K4" s="2">
        <v>0</v>
      </c>
      <c r="L4" s="2">
        <v>0</v>
      </c>
      <c r="M4" s="2">
        <v>0.08</v>
      </c>
      <c r="N4" s="1" t="s">
        <v>22</v>
      </c>
    </row>
    <row r="5" spans="1:14" s="1" customFormat="1" ht="61.5" customHeight="1" x14ac:dyDescent="0.25">
      <c r="A5" s="1" t="s">
        <v>23</v>
      </c>
      <c r="B5" s="1">
        <v>0</v>
      </c>
      <c r="C5" s="1">
        <v>0</v>
      </c>
      <c r="D5" s="1">
        <v>30</v>
      </c>
      <c r="E5" s="1">
        <v>0</v>
      </c>
      <c r="F5" s="1" t="s">
        <v>21</v>
      </c>
      <c r="G5" s="1" t="s">
        <v>15</v>
      </c>
      <c r="H5" s="1" t="s">
        <v>16</v>
      </c>
      <c r="I5" s="1">
        <v>14</v>
      </c>
      <c r="J5" s="2">
        <v>0</v>
      </c>
      <c r="K5" s="2">
        <v>0</v>
      </c>
      <c r="L5" s="2">
        <v>0</v>
      </c>
      <c r="M5" s="2">
        <v>0.15</v>
      </c>
      <c r="N5" s="1" t="s">
        <v>24</v>
      </c>
    </row>
    <row r="6" spans="1:14" s="1" customFormat="1" ht="61.5" customHeight="1" x14ac:dyDescent="0.25">
      <c r="A6" s="1" t="s">
        <v>25</v>
      </c>
      <c r="B6" s="1">
        <v>60</v>
      </c>
      <c r="C6" s="1">
        <v>0</v>
      </c>
      <c r="D6" s="1">
        <v>2</v>
      </c>
      <c r="E6" s="1">
        <v>0</v>
      </c>
      <c r="F6" s="1" t="s">
        <v>14</v>
      </c>
      <c r="G6" s="1" t="s">
        <v>15</v>
      </c>
      <c r="H6" s="1" t="s">
        <v>16</v>
      </c>
      <c r="I6" s="1">
        <v>0</v>
      </c>
      <c r="J6" s="2">
        <v>0</v>
      </c>
      <c r="K6" s="2">
        <v>0</v>
      </c>
      <c r="L6" s="2">
        <v>0</v>
      </c>
      <c r="M6" s="2">
        <v>0</v>
      </c>
      <c r="N6" s="1" t="s">
        <v>17</v>
      </c>
    </row>
    <row r="7" spans="1:14" s="1" customFormat="1" ht="61.5" customHeight="1" x14ac:dyDescent="0.25">
      <c r="A7" s="1" t="s">
        <v>26</v>
      </c>
      <c r="B7" s="1">
        <v>0</v>
      </c>
      <c r="C7" s="1">
        <v>80</v>
      </c>
      <c r="D7" s="1">
        <v>30</v>
      </c>
      <c r="E7" s="1">
        <v>0</v>
      </c>
      <c r="F7" s="1" t="s">
        <v>27</v>
      </c>
      <c r="G7" s="1" t="s">
        <v>28</v>
      </c>
      <c r="H7" s="1" t="s">
        <v>16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s="1" customFormat="1" ht="61.5" customHeight="1" x14ac:dyDescent="0.25">
      <c r="J8" s="2"/>
      <c r="K8" s="2"/>
      <c r="L8" s="2"/>
      <c r="M8" s="2"/>
    </row>
    <row r="9" spans="1:14" s="1" customFormat="1" ht="61.5" customHeight="1" x14ac:dyDescent="0.25">
      <c r="J9" s="2"/>
      <c r="K9" s="2"/>
      <c r="L9" s="2"/>
      <c r="M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Dirge</vt:lpstr>
      <vt:lpstr>Warsinger</vt:lpstr>
      <vt:lpstr>Striker</vt:lpstr>
      <vt:lpstr>Exsanguinate</vt:lpstr>
      <vt:lpstr>Elementalist</vt:lpstr>
      <vt:lpstr>Arcanist</vt:lpstr>
      <vt:lpstr>Mender</vt:lpstr>
      <vt:lpstr>Siphon</vt:lpstr>
      <vt:lpstr>Vanguard</vt:lpstr>
      <vt:lpstr>Bulwark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Nunes</dc:creator>
  <cp:lastModifiedBy>Jacob Nunes</cp:lastModifiedBy>
  <dcterms:created xsi:type="dcterms:W3CDTF">2026-05-06T21:00:48Z</dcterms:created>
  <dcterms:modified xsi:type="dcterms:W3CDTF">2026-05-07T18:01:09Z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2026-05-06T21:15:03Z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a69bf012-3ec1-4984-a40a-1d18d06aea50</vt:lpwstr>
  </property>
  <property fmtid="{D5CDD505-2E9C-101B-9397-08002B2CF9AE}" pid="7" name="MSIP_Label_defa4170-0d19-0005-0000-bc88714345d2_ActionId">
    <vt:lpwstr>babf9e55-6e30-4659-9ae7-4b260f8f106b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